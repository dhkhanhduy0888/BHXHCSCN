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 BHXHCN\"/>
    </mc:Choice>
  </mc:AlternateContent>
  <bookViews>
    <workbookView xWindow="-108" yWindow="-108" windowWidth="25824" windowHeight="15504" activeTab="6"/>
  </bookViews>
  <sheets>
    <sheet name="Thang 12" sheetId="5" r:id="rId1"/>
    <sheet name="Thang 02" sheetId="6" r:id="rId2"/>
    <sheet name="Thang 3" sheetId="7" r:id="rId3"/>
    <sheet name="Thang 4" sheetId="8" r:id="rId4"/>
    <sheet name="Thang 5" sheetId="9" r:id="rId5"/>
    <sheet name="Thang 6" sheetId="10" r:id="rId6"/>
    <sheet name="Thang 7" sheetId="11" r:id="rId7"/>
  </sheets>
  <calcPr calcId="162913"/>
</workbook>
</file>

<file path=xl/calcChain.xml><?xml version="1.0" encoding="utf-8"?>
<calcChain xmlns="http://schemas.openxmlformats.org/spreadsheetml/2006/main">
  <c r="AN9" i="11" l="1"/>
  <c r="AE9" i="11" l="1"/>
  <c r="AD10" i="11"/>
  <c r="AD11" i="11"/>
  <c r="AD12" i="11"/>
  <c r="AD13" i="11"/>
  <c r="AD14" i="11"/>
  <c r="AD9" i="11"/>
  <c r="AM9" i="11" l="1"/>
  <c r="AH9" i="11"/>
  <c r="AF10" i="11"/>
  <c r="AF11" i="11"/>
  <c r="AF12" i="11"/>
  <c r="AF13" i="11"/>
  <c r="AF9" i="11"/>
  <c r="AE10" i="11"/>
  <c r="AE11" i="11"/>
  <c r="AE12" i="11"/>
  <c r="AE13" i="11"/>
  <c r="AP9" i="11" l="1"/>
  <c r="AC10" i="11"/>
  <c r="AC11" i="11"/>
  <c r="AC12" i="11"/>
  <c r="AC13" i="11"/>
  <c r="AC14" i="11"/>
  <c r="AC9" i="11"/>
  <c r="Z9" i="11"/>
  <c r="T10" i="11" l="1"/>
  <c r="T11" i="11"/>
  <c r="T12" i="11"/>
  <c r="T13" i="11"/>
  <c r="T14" i="11"/>
  <c r="T15" i="11"/>
  <c r="T9" i="11"/>
  <c r="N10" i="11"/>
  <c r="N11" i="11"/>
  <c r="N12" i="11"/>
  <c r="N13" i="11"/>
  <c r="N14" i="11"/>
  <c r="N15" i="11"/>
  <c r="N9" i="11"/>
  <c r="H10" i="11"/>
  <c r="H11" i="11"/>
  <c r="H12" i="11"/>
  <c r="H13" i="11"/>
  <c r="H14" i="11"/>
  <c r="H15" i="11"/>
  <c r="H9" i="11"/>
  <c r="S16" i="11"/>
  <c r="R16" i="11"/>
  <c r="M16" i="11"/>
  <c r="L16" i="11"/>
  <c r="G16" i="11"/>
  <c r="I16" i="11" s="1"/>
  <c r="F16" i="11"/>
  <c r="D16" i="11"/>
  <c r="E16" i="11" s="1"/>
  <c r="C16" i="11"/>
  <c r="W15" i="11"/>
  <c r="V15" i="11"/>
  <c r="U15" i="11"/>
  <c r="Q15" i="11"/>
  <c r="P15" i="11"/>
  <c r="O15" i="11"/>
  <c r="K15" i="11"/>
  <c r="J15" i="11"/>
  <c r="I15" i="11"/>
  <c r="E15" i="11"/>
  <c r="W14" i="11"/>
  <c r="V14" i="11"/>
  <c r="U14" i="11"/>
  <c r="Q14" i="11"/>
  <c r="P14" i="11"/>
  <c r="O14" i="11"/>
  <c r="K14" i="11"/>
  <c r="J14" i="11"/>
  <c r="I14" i="11"/>
  <c r="E14" i="11"/>
  <c r="W13" i="11"/>
  <c r="V13" i="11"/>
  <c r="U13" i="11"/>
  <c r="Q13" i="11"/>
  <c r="P13" i="11"/>
  <c r="O13" i="11"/>
  <c r="K13" i="11"/>
  <c r="J13" i="11"/>
  <c r="I13" i="11"/>
  <c r="E13" i="11"/>
  <c r="W12" i="11"/>
  <c r="V12" i="11"/>
  <c r="U12" i="11"/>
  <c r="Q12" i="11"/>
  <c r="P12" i="11"/>
  <c r="O12" i="11"/>
  <c r="K12" i="11"/>
  <c r="J12" i="11"/>
  <c r="I12" i="11"/>
  <c r="E12" i="11"/>
  <c r="W11" i="11"/>
  <c r="V11" i="11"/>
  <c r="U11" i="11"/>
  <c r="Q11" i="11"/>
  <c r="P11" i="11"/>
  <c r="O11" i="11"/>
  <c r="K11" i="11"/>
  <c r="J11" i="11"/>
  <c r="I11" i="11"/>
  <c r="E11" i="11"/>
  <c r="W10" i="11"/>
  <c r="V10" i="11"/>
  <c r="U10" i="11"/>
  <c r="Q10" i="11"/>
  <c r="P10" i="11"/>
  <c r="O10" i="11"/>
  <c r="K10" i="11"/>
  <c r="J10" i="11"/>
  <c r="I10" i="11"/>
  <c r="E10" i="11"/>
  <c r="W9" i="11"/>
  <c r="V9" i="11"/>
  <c r="U9" i="11"/>
  <c r="Q9" i="11"/>
  <c r="P9" i="11"/>
  <c r="O9" i="11"/>
  <c r="K9" i="11"/>
  <c r="J9" i="11"/>
  <c r="I9" i="11"/>
  <c r="E9" i="11"/>
  <c r="W16" i="11" l="1"/>
  <c r="P16" i="11"/>
  <c r="V16" i="11"/>
  <c r="U16" i="11"/>
  <c r="K16" i="11"/>
  <c r="J16" i="11"/>
  <c r="T16" i="11"/>
  <c r="N16" i="11"/>
  <c r="H16" i="11"/>
  <c r="Q16" i="11"/>
  <c r="O16" i="11"/>
  <c r="E15" i="10"/>
  <c r="T10" i="10" l="1"/>
  <c r="T11" i="10"/>
  <c r="T12" i="10"/>
  <c r="T13" i="10"/>
  <c r="T14" i="10"/>
  <c r="T15" i="10"/>
  <c r="T9" i="10"/>
  <c r="N10" i="10"/>
  <c r="N11" i="10"/>
  <c r="N12" i="10"/>
  <c r="N13" i="10"/>
  <c r="N14" i="10"/>
  <c r="N15" i="10"/>
  <c r="N9" i="10"/>
  <c r="H10" i="10"/>
  <c r="H11" i="10"/>
  <c r="H12" i="10"/>
  <c r="H13" i="10"/>
  <c r="H14" i="10"/>
  <c r="H15" i="10"/>
  <c r="H9" i="10"/>
  <c r="S16" i="10"/>
  <c r="W16" i="10" s="1"/>
  <c r="R16" i="10"/>
  <c r="M16" i="10"/>
  <c r="O16" i="10" s="1"/>
  <c r="L16" i="10"/>
  <c r="G16" i="10"/>
  <c r="K16" i="10" s="1"/>
  <c r="F16" i="10"/>
  <c r="D16" i="10"/>
  <c r="E16" i="10" s="1"/>
  <c r="C16" i="10"/>
  <c r="W15" i="10"/>
  <c r="V15" i="10"/>
  <c r="U15" i="10"/>
  <c r="Q15" i="10"/>
  <c r="P15" i="10"/>
  <c r="O15" i="10"/>
  <c r="K15" i="10"/>
  <c r="J15" i="10"/>
  <c r="I15" i="10"/>
  <c r="W14" i="10"/>
  <c r="V14" i="10"/>
  <c r="U14" i="10"/>
  <c r="Q14" i="10"/>
  <c r="P14" i="10"/>
  <c r="O14" i="10"/>
  <c r="K14" i="10"/>
  <c r="J14" i="10"/>
  <c r="I14" i="10"/>
  <c r="E14" i="10"/>
  <c r="W13" i="10"/>
  <c r="V13" i="10"/>
  <c r="U13" i="10"/>
  <c r="Q13" i="10"/>
  <c r="P13" i="10"/>
  <c r="O13" i="10"/>
  <c r="K13" i="10"/>
  <c r="J13" i="10"/>
  <c r="I13" i="10"/>
  <c r="E13" i="10"/>
  <c r="W12" i="10"/>
  <c r="V12" i="10"/>
  <c r="U12" i="10"/>
  <c r="Q12" i="10"/>
  <c r="P12" i="10"/>
  <c r="O12" i="10"/>
  <c r="K12" i="10"/>
  <c r="J12" i="10"/>
  <c r="I12" i="10"/>
  <c r="E12" i="10"/>
  <c r="W11" i="10"/>
  <c r="V11" i="10"/>
  <c r="U11" i="10"/>
  <c r="Q11" i="10"/>
  <c r="P11" i="10"/>
  <c r="O11" i="10"/>
  <c r="K11" i="10"/>
  <c r="J11" i="10"/>
  <c r="I11" i="10"/>
  <c r="E11" i="10"/>
  <c r="W10" i="10"/>
  <c r="V10" i="10"/>
  <c r="U10" i="10"/>
  <c r="Q10" i="10"/>
  <c r="P10" i="10"/>
  <c r="O10" i="10"/>
  <c r="K10" i="10"/>
  <c r="J10" i="10"/>
  <c r="I10" i="10"/>
  <c r="E10" i="10"/>
  <c r="W9" i="10"/>
  <c r="V9" i="10"/>
  <c r="U9" i="10"/>
  <c r="Q9" i="10"/>
  <c r="P9" i="10"/>
  <c r="O9" i="10"/>
  <c r="K9" i="10"/>
  <c r="J9" i="10"/>
  <c r="I9" i="10"/>
  <c r="E9" i="10"/>
  <c r="T16" i="10" l="1"/>
  <c r="M18" i="10"/>
  <c r="N16" i="10"/>
  <c r="P16" i="10"/>
  <c r="H16" i="10"/>
  <c r="Q16" i="10"/>
  <c r="I16" i="10"/>
  <c r="J16" i="10"/>
  <c r="V16" i="10"/>
  <c r="U16" i="10"/>
  <c r="Y10" i="8"/>
  <c r="Y11" i="8"/>
  <c r="Y12" i="8"/>
  <c r="Y13" i="8"/>
  <c r="Y14" i="8"/>
  <c r="Y15" i="8"/>
  <c r="Y9" i="8"/>
  <c r="T10" i="9" l="1"/>
  <c r="T11" i="9"/>
  <c r="T12" i="9"/>
  <c r="T13" i="9"/>
  <c r="T14" i="9"/>
  <c r="T15" i="9"/>
  <c r="T9" i="9"/>
  <c r="N10" i="9"/>
  <c r="N11" i="9"/>
  <c r="N12" i="9"/>
  <c r="N13" i="9"/>
  <c r="N14" i="9"/>
  <c r="N15" i="9"/>
  <c r="N9" i="9"/>
  <c r="H10" i="9"/>
  <c r="I10" i="9"/>
  <c r="H11" i="9"/>
  <c r="I11" i="9"/>
  <c r="H12" i="9"/>
  <c r="I12" i="9"/>
  <c r="H13" i="9"/>
  <c r="I13" i="9"/>
  <c r="H14" i="9"/>
  <c r="I14" i="9"/>
  <c r="H15" i="9"/>
  <c r="I15" i="9"/>
  <c r="H9" i="9"/>
  <c r="S16" i="9" l="1"/>
  <c r="R16" i="9"/>
  <c r="M16" i="9"/>
  <c r="L16" i="9"/>
  <c r="F16" i="9"/>
  <c r="D16" i="9"/>
  <c r="E16" i="9" s="1"/>
  <c r="C16" i="9"/>
  <c r="W15" i="9"/>
  <c r="V15" i="9"/>
  <c r="U15" i="9"/>
  <c r="Q15" i="9"/>
  <c r="P15" i="9"/>
  <c r="O15" i="9"/>
  <c r="K15" i="9"/>
  <c r="J15" i="9"/>
  <c r="W14" i="9"/>
  <c r="V14" i="9"/>
  <c r="U14" i="9"/>
  <c r="Q14" i="9"/>
  <c r="P14" i="9"/>
  <c r="O14" i="9"/>
  <c r="K14" i="9"/>
  <c r="J14" i="9"/>
  <c r="E14" i="9"/>
  <c r="W13" i="9"/>
  <c r="V13" i="9"/>
  <c r="U13" i="9"/>
  <c r="Q13" i="9"/>
  <c r="P13" i="9"/>
  <c r="O13" i="9"/>
  <c r="K13" i="9"/>
  <c r="J13" i="9"/>
  <c r="E13" i="9"/>
  <c r="W12" i="9"/>
  <c r="V12" i="9"/>
  <c r="U12" i="9"/>
  <c r="Q12" i="9"/>
  <c r="P12" i="9"/>
  <c r="O12" i="9"/>
  <c r="K12" i="9"/>
  <c r="J12" i="9"/>
  <c r="G16" i="9"/>
  <c r="H16" i="9" s="1"/>
  <c r="E12" i="9"/>
  <c r="W11" i="9"/>
  <c r="V11" i="9"/>
  <c r="U11" i="9"/>
  <c r="Q11" i="9"/>
  <c r="P11" i="9"/>
  <c r="O11" i="9"/>
  <c r="K11" i="9"/>
  <c r="J11" i="9"/>
  <c r="E11" i="9"/>
  <c r="W10" i="9"/>
  <c r="V10" i="9"/>
  <c r="U10" i="9"/>
  <c r="Q10" i="9"/>
  <c r="P10" i="9"/>
  <c r="O10" i="9"/>
  <c r="K10" i="9"/>
  <c r="J10" i="9"/>
  <c r="E10" i="9"/>
  <c r="W9" i="9"/>
  <c r="V9" i="9"/>
  <c r="U9" i="9"/>
  <c r="Q9" i="9"/>
  <c r="P9" i="9"/>
  <c r="O9" i="9"/>
  <c r="K9" i="9"/>
  <c r="J9" i="9"/>
  <c r="I9" i="9"/>
  <c r="E9" i="9"/>
  <c r="W16" i="9" l="1"/>
  <c r="T16" i="9"/>
  <c r="O16" i="9"/>
  <c r="V16" i="9"/>
  <c r="J16" i="9"/>
  <c r="Q16" i="9"/>
  <c r="P16" i="9"/>
  <c r="K16" i="9"/>
  <c r="I16" i="9"/>
  <c r="U16" i="9"/>
  <c r="Q10" i="8"/>
  <c r="Q11" i="8"/>
  <c r="Q12" i="8"/>
  <c r="Q13" i="8"/>
  <c r="Q14" i="8"/>
  <c r="Q15" i="8"/>
  <c r="Q9" i="8"/>
  <c r="G12" i="8"/>
  <c r="P10" i="8"/>
  <c r="P11" i="8"/>
  <c r="P12" i="8"/>
  <c r="P13" i="8"/>
  <c r="P14" i="8"/>
  <c r="P15" i="8"/>
  <c r="P9" i="8"/>
  <c r="U10" i="8" l="1"/>
  <c r="U11" i="8"/>
  <c r="U12" i="8"/>
  <c r="U13" i="8"/>
  <c r="U14" i="8"/>
  <c r="U15" i="8"/>
  <c r="U9" i="8"/>
  <c r="T10" i="8"/>
  <c r="T11" i="8"/>
  <c r="T12" i="8"/>
  <c r="T13" i="8"/>
  <c r="T14" i="8"/>
  <c r="T15" i="8"/>
  <c r="T9" i="8"/>
  <c r="O10" i="8"/>
  <c r="O11" i="8"/>
  <c r="O12" i="8"/>
  <c r="O13" i="8"/>
  <c r="O14" i="8"/>
  <c r="O15" i="8"/>
  <c r="O9" i="8"/>
  <c r="N10" i="8"/>
  <c r="N11" i="8"/>
  <c r="N12" i="8"/>
  <c r="N13" i="8"/>
  <c r="N14" i="8"/>
  <c r="N15" i="8"/>
  <c r="N9" i="8"/>
  <c r="I10" i="8"/>
  <c r="I11" i="8"/>
  <c r="I12" i="8"/>
  <c r="I13" i="8"/>
  <c r="I14" i="8"/>
  <c r="I15" i="8"/>
  <c r="I9" i="8"/>
  <c r="H10" i="8"/>
  <c r="H11" i="8"/>
  <c r="H12" i="8"/>
  <c r="H13" i="8"/>
  <c r="H14" i="8"/>
  <c r="H15" i="8"/>
  <c r="H9" i="8"/>
  <c r="S16" i="8"/>
  <c r="R16" i="8"/>
  <c r="P16" i="8"/>
  <c r="M16" i="8"/>
  <c r="L16" i="8"/>
  <c r="G16" i="8"/>
  <c r="F16" i="8"/>
  <c r="D16" i="8"/>
  <c r="C16" i="8"/>
  <c r="W15" i="8"/>
  <c r="V15" i="8"/>
  <c r="K15" i="8"/>
  <c r="J15" i="8"/>
  <c r="E15" i="8"/>
  <c r="W14" i="8"/>
  <c r="V14" i="8"/>
  <c r="K14" i="8"/>
  <c r="J14" i="8"/>
  <c r="E14" i="8"/>
  <c r="W13" i="8"/>
  <c r="V13" i="8"/>
  <c r="K13" i="8"/>
  <c r="J13" i="8"/>
  <c r="E13" i="8"/>
  <c r="W12" i="8"/>
  <c r="V12" i="8"/>
  <c r="K12" i="8"/>
  <c r="J12" i="8"/>
  <c r="E12" i="8"/>
  <c r="W11" i="8"/>
  <c r="V11" i="8"/>
  <c r="K11" i="8"/>
  <c r="J11" i="8"/>
  <c r="E11" i="8"/>
  <c r="W10" i="8"/>
  <c r="V10" i="8"/>
  <c r="K10" i="8"/>
  <c r="J10" i="8"/>
  <c r="E10" i="8"/>
  <c r="W9" i="8"/>
  <c r="V9" i="8"/>
  <c r="K9" i="8"/>
  <c r="J9" i="8"/>
  <c r="E9" i="8"/>
  <c r="N16" i="9" l="1"/>
  <c r="Q16" i="8"/>
  <c r="H16" i="8"/>
  <c r="I16" i="8"/>
  <c r="N16" i="8"/>
  <c r="O16" i="8"/>
  <c r="U16" i="8"/>
  <c r="T16" i="8"/>
  <c r="V16" i="8"/>
  <c r="J16" i="8"/>
  <c r="E16" i="8"/>
  <c r="W16" i="8"/>
  <c r="K16" i="8"/>
  <c r="AI11" i="7"/>
  <c r="AI12" i="7"/>
  <c r="AI13" i="7"/>
  <c r="AI14" i="7"/>
  <c r="AI15" i="7"/>
  <c r="AI16" i="7"/>
  <c r="AI17" i="7"/>
  <c r="AI10" i="7"/>
  <c r="AD17" i="7"/>
  <c r="Z11" i="7"/>
  <c r="Z12" i="7"/>
  <c r="Z13" i="7"/>
  <c r="Z14" i="7"/>
  <c r="Z15" i="7"/>
  <c r="Z16" i="7"/>
  <c r="Z17" i="7"/>
  <c r="Z10" i="7"/>
  <c r="U17" i="7"/>
  <c r="L17" i="7"/>
  <c r="Q17" i="7" s="1"/>
  <c r="Q11" i="7"/>
  <c r="Q12" i="7"/>
  <c r="Q13" i="7"/>
  <c r="Q14" i="7"/>
  <c r="Q15" i="7"/>
  <c r="Q16" i="7"/>
  <c r="Q10" i="7"/>
  <c r="AH11" i="7"/>
  <c r="AH12" i="7"/>
  <c r="AH13" i="7"/>
  <c r="AH14" i="7"/>
  <c r="AH15" i="7"/>
  <c r="AH16" i="7"/>
  <c r="AH10" i="7"/>
  <c r="Y11" i="7"/>
  <c r="Y12" i="7"/>
  <c r="Y13" i="7"/>
  <c r="Y14" i="7"/>
  <c r="Y15" i="7"/>
  <c r="Y16" i="7"/>
  <c r="Y10" i="7"/>
  <c r="P11" i="7"/>
  <c r="P12" i="7"/>
  <c r="P13" i="7"/>
  <c r="P14" i="7"/>
  <c r="P15" i="7"/>
  <c r="P16" i="7"/>
  <c r="P10" i="7"/>
  <c r="AE17" i="7"/>
  <c r="V17" i="7"/>
  <c r="M17" i="7"/>
  <c r="AF17" i="7" l="1"/>
  <c r="AC17" i="7"/>
  <c r="AA17" i="7"/>
  <c r="W17" i="7"/>
  <c r="Y17" i="7" s="1"/>
  <c r="T17" i="7"/>
  <c r="N17" i="7"/>
  <c r="P17" i="7" s="1"/>
  <c r="K17" i="7"/>
  <c r="H17" i="7"/>
  <c r="D17" i="7"/>
  <c r="C17" i="7"/>
  <c r="AK16" i="7"/>
  <c r="AJ16" i="7"/>
  <c r="AG16" i="7"/>
  <c r="X16" i="7"/>
  <c r="S16" i="7"/>
  <c r="R16" i="7"/>
  <c r="O16" i="7"/>
  <c r="E16" i="7"/>
  <c r="AK15" i="7"/>
  <c r="AJ15" i="7"/>
  <c r="AG15" i="7"/>
  <c r="X15" i="7"/>
  <c r="S15" i="7"/>
  <c r="R15" i="7"/>
  <c r="O15" i="7"/>
  <c r="E15" i="7"/>
  <c r="AK14" i="7"/>
  <c r="AJ14" i="7"/>
  <c r="AG14" i="7"/>
  <c r="X14" i="7"/>
  <c r="S14" i="7"/>
  <c r="R14" i="7"/>
  <c r="O14" i="7"/>
  <c r="E14" i="7"/>
  <c r="AK13" i="7"/>
  <c r="AJ13" i="7"/>
  <c r="AG13" i="7"/>
  <c r="X13" i="7"/>
  <c r="S13" i="7"/>
  <c r="R13" i="7"/>
  <c r="O13" i="7"/>
  <c r="E13" i="7"/>
  <c r="AK12" i="7"/>
  <c r="AJ12" i="7"/>
  <c r="AG12" i="7"/>
  <c r="X12" i="7"/>
  <c r="S12" i="7"/>
  <c r="R12" i="7"/>
  <c r="O12" i="7"/>
  <c r="E12" i="7"/>
  <c r="AK11" i="7"/>
  <c r="AJ11" i="7"/>
  <c r="AG11" i="7"/>
  <c r="X11" i="7"/>
  <c r="S11" i="7"/>
  <c r="R11" i="7"/>
  <c r="O11" i="7"/>
  <c r="E11" i="7"/>
  <c r="AK10" i="7"/>
  <c r="AJ10" i="7"/>
  <c r="AG10" i="7"/>
  <c r="X10" i="7"/>
  <c r="X17" i="7" s="1"/>
  <c r="S10" i="7"/>
  <c r="R10" i="7"/>
  <c r="O10" i="7"/>
  <c r="E10" i="7"/>
  <c r="R17" i="7" l="1"/>
  <c r="AK17" i="7"/>
  <c r="AH17" i="7"/>
  <c r="AB17" i="7"/>
  <c r="S17" i="7"/>
  <c r="E17" i="7"/>
  <c r="AJ17" i="7"/>
  <c r="O17" i="7"/>
  <c r="AG17" i="7"/>
  <c r="X11" i="6" l="1"/>
  <c r="X12" i="6"/>
  <c r="X13" i="6"/>
  <c r="X14" i="6"/>
  <c r="X15" i="6"/>
  <c r="X16" i="6"/>
  <c r="Y10" i="6"/>
  <c r="Y11" i="6"/>
  <c r="Y12" i="6"/>
  <c r="Y13" i="6"/>
  <c r="Y14" i="6"/>
  <c r="Y15" i="6"/>
  <c r="Y16" i="6"/>
  <c r="X10" i="6"/>
  <c r="X17" i="6" s="1"/>
  <c r="P17" i="6"/>
  <c r="S17" i="6"/>
  <c r="O11" i="6"/>
  <c r="O12" i="6"/>
  <c r="O13" i="6"/>
  <c r="O14" i="6"/>
  <c r="O15" i="6"/>
  <c r="O16" i="6"/>
  <c r="O10" i="6"/>
  <c r="N11" i="6"/>
  <c r="N12" i="6"/>
  <c r="N13" i="6"/>
  <c r="N14" i="6"/>
  <c r="N15" i="6"/>
  <c r="N16" i="6"/>
  <c r="N10" i="6"/>
  <c r="U17" i="6"/>
  <c r="K17" i="6"/>
  <c r="N17" i="6" l="1"/>
  <c r="H17" i="6"/>
  <c r="N17" i="5"/>
  <c r="O17" i="5"/>
  <c r="P17" i="5"/>
  <c r="V17" i="5"/>
  <c r="W17" i="5"/>
  <c r="X17" i="5"/>
  <c r="AE10" i="5"/>
  <c r="AF10" i="5"/>
  <c r="AE11" i="5"/>
  <c r="AF11" i="5"/>
  <c r="AE12" i="5"/>
  <c r="AF12" i="5"/>
  <c r="AE13" i="5"/>
  <c r="AF13" i="5"/>
  <c r="AF14" i="5"/>
  <c r="AE15" i="5"/>
  <c r="AF15" i="5"/>
  <c r="AE16" i="5"/>
  <c r="AF16" i="5"/>
  <c r="AD17" i="5"/>
  <c r="V17" i="6"/>
  <c r="Y17" i="6" s="1"/>
  <c r="Q17" i="6"/>
  <c r="T17" i="6" s="1"/>
  <c r="L17" i="6"/>
  <c r="O17" i="6" s="1"/>
  <c r="D17" i="6"/>
  <c r="C17" i="6"/>
  <c r="W16" i="6"/>
  <c r="R16" i="6"/>
  <c r="M16" i="6"/>
  <c r="E16" i="6"/>
  <c r="W15" i="6"/>
  <c r="R15" i="6"/>
  <c r="M15" i="6"/>
  <c r="E15" i="6"/>
  <c r="W14" i="6"/>
  <c r="R14" i="6"/>
  <c r="M14" i="6"/>
  <c r="E14" i="6"/>
  <c r="W13" i="6"/>
  <c r="R13" i="6"/>
  <c r="M13" i="6"/>
  <c r="E13" i="6"/>
  <c r="W12" i="6"/>
  <c r="R12" i="6"/>
  <c r="M12" i="6"/>
  <c r="E12" i="6"/>
  <c r="W11" i="6"/>
  <c r="R11" i="6"/>
  <c r="M11" i="6"/>
  <c r="E11" i="6"/>
  <c r="W10" i="6"/>
  <c r="R10" i="6"/>
  <c r="R17" i="6" s="1"/>
  <c r="M10" i="6"/>
  <c r="E10" i="6"/>
  <c r="AF17" i="5" l="1"/>
  <c r="AE17" i="5"/>
  <c r="E17" i="6"/>
  <c r="W17" i="6"/>
  <c r="M17" i="6"/>
  <c r="L17" i="5"/>
  <c r="D17" i="5" l="1"/>
  <c r="E11" i="5"/>
  <c r="E12" i="5"/>
  <c r="E13" i="5"/>
  <c r="E14" i="5"/>
  <c r="E15" i="5"/>
  <c r="E16" i="5"/>
  <c r="E10" i="5"/>
  <c r="G11" i="5" l="1"/>
  <c r="G12" i="5"/>
  <c r="G13" i="5"/>
  <c r="G14" i="5"/>
  <c r="G15" i="5"/>
  <c r="G16" i="5"/>
  <c r="F17" i="5"/>
  <c r="G10" i="5"/>
  <c r="AG17" i="5" l="1"/>
  <c r="Z11" i="5"/>
  <c r="Z12" i="5"/>
  <c r="Z13" i="5"/>
  <c r="Z14" i="5"/>
  <c r="Z15" i="5"/>
  <c r="Z16" i="5"/>
  <c r="Z10" i="5"/>
  <c r="Y17" i="5"/>
  <c r="R11" i="5"/>
  <c r="R12" i="5"/>
  <c r="R13" i="5"/>
  <c r="R14" i="5"/>
  <c r="R15" i="5"/>
  <c r="R16" i="5"/>
  <c r="R10" i="5"/>
  <c r="Q17" i="5"/>
  <c r="AB17" i="5" l="1"/>
  <c r="T17" i="5"/>
  <c r="AJ17" i="5"/>
  <c r="AH13" i="5" l="1"/>
  <c r="AH12" i="5"/>
  <c r="AH11" i="5"/>
  <c r="AH10" i="5"/>
  <c r="AH15" i="5"/>
  <c r="AH16" i="5"/>
  <c r="AH14" i="5"/>
  <c r="Z17" i="5" l="1"/>
  <c r="R17" i="5"/>
  <c r="S17" i="5" l="1"/>
  <c r="AA17" i="5"/>
  <c r="AH17" i="5" l="1"/>
  <c r="AI17" i="5" l="1"/>
  <c r="C17" i="5" l="1"/>
  <c r="E17" i="5" l="1"/>
  <c r="G17" i="5"/>
</calcChain>
</file>

<file path=xl/comments1.xml><?xml version="1.0" encoding="utf-8"?>
<comments xmlns="http://schemas.openxmlformats.org/spreadsheetml/2006/main">
  <authors>
    <author>Ngo Minh  Khoa</author>
  </authors>
  <commentList>
    <comment ref="Z8" authorId="0" shapeId="0">
      <text>
        <r>
          <rPr>
            <b/>
            <sz val="9"/>
            <color indexed="81"/>
            <rFont val="Tahoma"/>
          </rPr>
          <t>Ngo Minh  Khoa:</t>
        </r>
        <r>
          <rPr>
            <sz val="9"/>
            <color indexed="81"/>
            <rFont val="Tahoma"/>
          </rPr>
          <t xml:space="preserve">
Đã cập nhật số KH điều chỉnh</t>
        </r>
      </text>
    </comment>
  </commentList>
</comments>
</file>

<file path=xl/sharedStrings.xml><?xml version="1.0" encoding="utf-8"?>
<sst xmlns="http://schemas.openxmlformats.org/spreadsheetml/2006/main" count="368" uniqueCount="78">
  <si>
    <t>STT</t>
  </si>
  <si>
    <t>Tổng cộng</t>
  </si>
  <si>
    <t>CỘNG HÒA XÃ HỘI CHỦ NGHĨA VIỆT NAM</t>
  </si>
  <si>
    <t>Độc lập - Tự do - Hạnh phúc</t>
  </si>
  <si>
    <t>NGƯỜI LẬP BIỂU</t>
  </si>
  <si>
    <t>Tô Khánh Duy</t>
  </si>
  <si>
    <t>KT. GIÁM ĐỐC</t>
  </si>
  <si>
    <t>PHÓ GIÁM ĐỐC</t>
  </si>
  <si>
    <t>Ghi chú</t>
  </si>
  <si>
    <t>Bảo hiểm thất nghiệp</t>
  </si>
  <si>
    <t>Bảo hiểm xã hội bắt buộc</t>
  </si>
  <si>
    <t>Bảo hiểm xã hội tự nguyện</t>
  </si>
  <si>
    <t>Đơn vị</t>
  </si>
  <si>
    <t>Xã Lương Thế Trân</t>
  </si>
  <si>
    <t>Xã Hưng Mỹ</t>
  </si>
  <si>
    <t>Xã Tân Hưng</t>
  </si>
  <si>
    <t>Đơn vị tính: Người.</t>
  </si>
  <si>
    <t>Tỷ lệ đạt (%)</t>
  </si>
  <si>
    <t>(Theo Quyết định số 358/QĐ-UBND ngày 19/02/2025 của UBND huyện Cái Nước về việc giao chỉ tiêu BHYT, BHXH, BHTN năm 2025)</t>
  </si>
  <si>
    <t>BẢO HIỂM XÃ HỘI LIÊN HUYỆN</t>
  </si>
  <si>
    <t>CÁI NƯỚC - ĐẦM DƠI</t>
  </si>
  <si>
    <t>BẢO HIỂM XÃ HỘI KHU VỰC XXXII</t>
  </si>
  <si>
    <t>*Ghi chú: - Dân số do Cục Thống kê cung cấp.</t>
  </si>
  <si>
    <t>Xã Cái Nước</t>
  </si>
  <si>
    <t>Xã Cái Đôi Vàm</t>
  </si>
  <si>
    <t>Xã Nguyễn Việt Khái</t>
  </si>
  <si>
    <t>Xã Phú Tân</t>
  </si>
  <si>
    <t>Dân số theo Thống kê tỉnh Cà Mau</t>
  </si>
  <si>
    <t>Tháng 9/2025</t>
  </si>
  <si>
    <t>Tháng 10/2025</t>
  </si>
  <si>
    <t>So với tháng trước</t>
  </si>
  <si>
    <t>Tỷ lệ bao phủ BHYT</t>
  </si>
  <si>
    <t>Bảo hiểm y tế
(số quản lý thu)</t>
  </si>
  <si>
    <t>Kế hoạch</t>
  </si>
  <si>
    <t>Số còn phải thực hiện</t>
  </si>
  <si>
    <t>Tháng 11/2025</t>
  </si>
  <si>
    <t>Cái Nước, ngày 02 tháng 12 năm 2025</t>
  </si>
  <si>
    <t>Tháng 12/2025</t>
  </si>
  <si>
    <t>Tháng 12
(bao gồm tham gia ngoại tỉnh)</t>
  </si>
  <si>
    <t>BẢNG TỔNG HỢP SỐ NGƯỜI THAM GIA BHXH, BHTN, BHYT ĐẾN 31/12/2025</t>
  </si>
  <si>
    <t>Tháng 12
(không bao gồm tham gia ngoại tỉnh)</t>
  </si>
  <si>
    <t>BẢO HIỂM XÃ HỘI TỈNH CÀ MAU</t>
  </si>
  <si>
    <t>BẢO HIỂM XÃ HỘI CƠ SỞ CÁI NƯỚC</t>
  </si>
  <si>
    <t>BẢNG TỔNG HỢP SỐ NGƯỜI THAM GIA BHXH, BHTN, BHYT ĐẾN 31/02/2026</t>
  </si>
  <si>
    <t>Tháng 3/2026</t>
  </si>
  <si>
    <t>Tháng 02/2026</t>
  </si>
  <si>
    <t>So với cuối năm 2025</t>
  </si>
  <si>
    <t>Tháng 4/2026</t>
  </si>
  <si>
    <t>BẢNG TỔNG HỢP SỐ NGƯỜI THAM GIA BHXH, BHTN, BHYT ĐẾN 30/4/2026</t>
  </si>
  <si>
    <t>BẢNG TỔNG HỢP SỐ NGƯỜI THAM GIA BHXH, BHTN, BHYT ĐẾN 31/5/2026</t>
  </si>
  <si>
    <t>Tháng 5/2026</t>
  </si>
  <si>
    <t>Tháng 6/2026</t>
  </si>
  <si>
    <t>BẢNG TỔNG HỢP SỐ NGƯỜI THAM GIA BHXH, BHTN, BHYT ĐẾN 30/6/2026</t>
  </si>
  <si>
    <t>BẢNG TỔNG HỢP SỐ NGƯỜI THAM GIA BHXH, BHTN, BHYT ĐẾN 31/7/2026</t>
  </si>
  <si>
    <t>Tháng 7/2026</t>
  </si>
  <si>
    <t>Tổng số thu</t>
  </si>
  <si>
    <t>Thu BHXH</t>
  </si>
  <si>
    <t>BHXH TN</t>
  </si>
  <si>
    <t>Thu BHTN</t>
  </si>
  <si>
    <t>Thu BHYT</t>
  </si>
  <si>
    <t>Thu lãi chậm đóng</t>
  </si>
  <si>
    <t>Số thu</t>
  </si>
  <si>
    <t>Số tiền chậm đóng trốn đóng</t>
  </si>
  <si>
    <t>Số KH</t>
  </si>
  <si>
    <t>Lũy kế</t>
  </si>
  <si>
    <t>Lũy kế đến trước tháng báo cáo</t>
  </si>
  <si>
    <t>Trong tháng</t>
  </si>
  <si>
    <t>% KH</t>
  </si>
  <si>
    <t>Còn TH</t>
  </si>
  <si>
    <t>Tổng</t>
  </si>
  <si>
    <t>Nợ không tính lãi</t>
  </si>
  <si>
    <t>Nợ tính lãi</t>
  </si>
  <si>
    <t>Nợ lãi</t>
  </si>
  <si>
    <t>NSNN</t>
  </si>
  <si>
    <t>Số tiền chậm đóng, trốn đóng</t>
  </si>
  <si>
    <t>+/- KH</t>
  </si>
  <si>
    <t>Số thu cuối 2025</t>
  </si>
  <si>
    <t>Bảo hiểm xã hội cơ sở Cái Nước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</si>
</sst>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₫_-;\-* #,##0.00\ _₫_-;_-* &quot;-&quot;??\ _₫_-;_-@_-"/>
    <numFmt numFmtId="164" formatCode="_(* #,##0.00_);_(* \(#,##0.00\);_(* &quot;-&quot;??_);_(@_)"/>
    <numFmt numFmtId="165" formatCode="_-* #,##0\ _₫_-;\-* #,##0\ _₫_-;_-* &quot;-&quot;??\ _₫_-;_-@_-"/>
    <numFmt numFmtId="166" formatCode="_(* #,##0_);_(* \(#,##0\);_(* &quot;-&quot;??_);_(@_)"/>
  </numFmts>
  <fonts count="3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163"/>
    </font>
    <font>
      <b/>
      <sz val="15"/>
      <color theme="1"/>
      <name val="Times New Roman"/>
      <family val="1"/>
      <charset val="163"/>
    </font>
    <font>
      <i/>
      <sz val="1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  <charset val="163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b/>
      <i/>
      <sz val="12"/>
      <color theme="1"/>
      <name val="Times New Roman"/>
      <family val="1"/>
    </font>
    <font>
      <i/>
      <sz val="13"/>
      <color theme="1"/>
      <name val="Times New Roman"/>
      <family val="1"/>
      <charset val="163"/>
    </font>
    <font>
      <i/>
      <sz val="13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  <charset val="163"/>
    </font>
    <font>
      <sz val="12"/>
      <name val="Times New Roman"/>
      <family val="1"/>
    </font>
    <font>
      <b/>
      <sz val="12"/>
      <color theme="1"/>
      <name val="Calibri"/>
      <family val="2"/>
      <charset val="163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1"/>
      <name val="Tahoma"/>
    </font>
    <font>
      <sz val="9"/>
      <color indexed="81"/>
      <name val="Tahoma"/>
    </font>
    <font>
      <sz val="13"/>
      <name val="Times New Roman"/>
      <family val="1"/>
    </font>
    <font>
      <sz val="13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13" fillId="0" borderId="0"/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7" fillId="0" borderId="0" xfId="0" applyFont="1"/>
    <xf numFmtId="164" fontId="0" fillId="0" borderId="0" xfId="0" applyNumberForma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166" fontId="5" fillId="0" borderId="0" xfId="0" applyNumberFormat="1" applyFont="1"/>
    <xf numFmtId="166" fontId="0" fillId="0" borderId="0" xfId="0" applyNumberFormat="1"/>
    <xf numFmtId="0" fontId="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2" fontId="15" fillId="0" borderId="0" xfId="1" applyNumberFormat="1" applyFont="1" applyBorder="1"/>
    <xf numFmtId="166" fontId="18" fillId="0" borderId="0" xfId="0" applyNumberFormat="1" applyFont="1" applyAlignment="1">
      <alignment horizontal="center"/>
    </xf>
    <xf numFmtId="165" fontId="9" fillId="0" borderId="0" xfId="0" applyNumberFormat="1" applyFont="1"/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  <xf numFmtId="166" fontId="18" fillId="0" borderId="1" xfId="0" applyNumberFormat="1" applyFont="1" applyBorder="1" applyAlignment="1">
      <alignment horizontal="center"/>
    </xf>
    <xf numFmtId="0" fontId="19" fillId="0" borderId="0" xfId="6" applyFont="1"/>
    <xf numFmtId="0" fontId="0" fillId="0" borderId="0" xfId="0" applyAlignment="1">
      <alignment horizontal="center" wrapText="1"/>
    </xf>
    <xf numFmtId="166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center" wrapText="1"/>
    </xf>
    <xf numFmtId="166" fontId="0" fillId="0" borderId="0" xfId="0" applyNumberFormat="1" applyAlignment="1">
      <alignment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165" fontId="11" fillId="0" borderId="1" xfId="0" applyNumberFormat="1" applyFont="1" applyBorder="1"/>
    <xf numFmtId="164" fontId="11" fillId="0" borderId="1" xfId="4" applyFont="1" applyFill="1" applyBorder="1" applyAlignment="1"/>
    <xf numFmtId="166" fontId="11" fillId="0" borderId="1" xfId="0" applyNumberFormat="1" applyFont="1" applyBorder="1" applyAlignment="1">
      <alignment horizontal="right"/>
    </xf>
    <xf numFmtId="166" fontId="11" fillId="0" borderId="1" xfId="4" applyNumberFormat="1" applyFont="1" applyFill="1" applyBorder="1" applyAlignment="1">
      <alignment horizontal="right"/>
    </xf>
    <xf numFmtId="164" fontId="18" fillId="0" borderId="1" xfId="4" applyFont="1" applyFill="1" applyBorder="1" applyAlignment="1"/>
    <xf numFmtId="166" fontId="19" fillId="0" borderId="0" xfId="6" applyNumberFormat="1" applyFont="1"/>
    <xf numFmtId="0" fontId="8" fillId="0" borderId="0" xfId="0" applyFont="1" applyAlignment="1">
      <alignment horizontal="center" vertical="center" wrapText="1"/>
    </xf>
    <xf numFmtId="165" fontId="11" fillId="0" borderId="0" xfId="0" applyNumberFormat="1" applyFont="1"/>
    <xf numFmtId="165" fontId="22" fillId="0" borderId="0" xfId="0" applyNumberFormat="1" applyFont="1"/>
    <xf numFmtId="165" fontId="18" fillId="0" borderId="1" xfId="0" applyNumberFormat="1" applyFont="1" applyBorder="1"/>
    <xf numFmtId="49" fontId="21" fillId="2" borderId="1" xfId="0" applyNumberFormat="1" applyFont="1" applyFill="1" applyBorder="1" applyAlignment="1">
      <alignment horizontal="left" vertical="center" shrinkToFit="1"/>
    </xf>
    <xf numFmtId="3" fontId="19" fillId="0" borderId="1" xfId="6" applyNumberFormat="1" applyFont="1" applyBorder="1"/>
    <xf numFmtId="3" fontId="24" fillId="0" borderId="1" xfId="6" applyNumberFormat="1" applyFont="1" applyBorder="1"/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3" fontId="23" fillId="0" borderId="1" xfId="6" applyNumberFormat="1" applyFont="1" applyBorder="1" applyAlignment="1">
      <alignment horizontal="right"/>
    </xf>
    <xf numFmtId="166" fontId="21" fillId="2" borderId="1" xfId="0" applyNumberFormat="1" applyFont="1" applyFill="1" applyBorder="1" applyAlignment="1">
      <alignment horizontal="right" vertical="center" shrinkToFit="1"/>
    </xf>
    <xf numFmtId="166" fontId="18" fillId="3" borderId="1" xfId="4" applyNumberFormat="1" applyFont="1" applyFill="1" applyBorder="1" applyAlignment="1"/>
    <xf numFmtId="164" fontId="11" fillId="3" borderId="1" xfId="4" applyFont="1" applyFill="1" applyBorder="1" applyAlignment="1"/>
    <xf numFmtId="166" fontId="18" fillId="0" borderId="1" xfId="4" applyNumberFormat="1" applyFont="1" applyFill="1" applyBorder="1" applyAlignment="1"/>
    <xf numFmtId="0" fontId="20" fillId="0" borderId="0" xfId="6" applyFont="1" applyAlignment="1">
      <alignment horizontal="left" vertical="center"/>
    </xf>
    <xf numFmtId="166" fontId="18" fillId="0" borderId="1" xfId="0" applyNumberFormat="1" applyFont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6" fontId="11" fillId="0" borderId="1" xfId="1" applyNumberFormat="1" applyFont="1" applyFill="1" applyBorder="1" applyAlignment="1">
      <alignment horizontal="right"/>
    </xf>
    <xf numFmtId="166" fontId="21" fillId="0" borderId="1" xfId="0" applyNumberFormat="1" applyFont="1" applyBorder="1" applyAlignment="1">
      <alignment horizontal="right" vertical="center" shrinkToFit="1"/>
    </xf>
    <xf numFmtId="166" fontId="18" fillId="0" borderId="1" xfId="4" applyNumberFormat="1" applyFont="1" applyFill="1" applyBorder="1" applyAlignment="1">
      <alignment horizontal="right"/>
    </xf>
    <xf numFmtId="166" fontId="18" fillId="0" borderId="1" xfId="1" applyNumberFormat="1" applyFont="1" applyFill="1" applyBorder="1" applyAlignment="1">
      <alignment horizontal="right"/>
    </xf>
    <xf numFmtId="164" fontId="18" fillId="0" borderId="1" xfId="4" applyFont="1" applyFill="1" applyBorder="1" applyAlignment="1">
      <alignment horizontal="right"/>
    </xf>
    <xf numFmtId="0" fontId="8" fillId="0" borderId="8" xfId="0" applyFont="1" applyBorder="1" applyAlignment="1">
      <alignment horizontal="center" vertical="center"/>
    </xf>
    <xf numFmtId="166" fontId="11" fillId="2" borderId="1" xfId="4" applyNumberFormat="1" applyFont="1" applyFill="1" applyBorder="1" applyAlignment="1"/>
    <xf numFmtId="166" fontId="18" fillId="2" borderId="1" xfId="4" applyNumberFormat="1" applyFont="1" applyFill="1" applyBorder="1" applyAlignment="1"/>
    <xf numFmtId="164" fontId="11" fillId="0" borderId="1" xfId="4" applyFont="1" applyFill="1" applyBorder="1" applyAlignment="1">
      <alignment horizontal="right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0" fillId="0" borderId="0" xfId="6" applyFont="1" applyAlignment="1">
      <alignment horizontal="left" vertical="center"/>
    </xf>
    <xf numFmtId="0" fontId="12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18" fillId="0" borderId="1" xfId="4" applyNumberFormat="1" applyFont="1" applyFill="1" applyBorder="1" applyAlignment="1">
      <alignment horizontal="right"/>
    </xf>
    <xf numFmtId="164" fontId="11" fillId="0" borderId="1" xfId="4" applyNumberFormat="1" applyFont="1" applyFill="1" applyBorder="1" applyAlignment="1">
      <alignment horizontal="right"/>
    </xf>
    <xf numFmtId="3" fontId="23" fillId="0" borderId="1" xfId="6" applyNumberFormat="1" applyFont="1" applyBorder="1" applyAlignment="1">
      <alignment horizontal="right"/>
    </xf>
    <xf numFmtId="3" fontId="19" fillId="0" borderId="1" xfId="6" applyNumberFormat="1" applyFont="1" applyBorder="1"/>
    <xf numFmtId="0" fontId="8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2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0" fontId="20" fillId="0" borderId="0" xfId="6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166" fontId="20" fillId="0" borderId="0" xfId="6" applyNumberFormat="1" applyFont="1" applyAlignment="1">
      <alignment horizontal="left" vertical="center"/>
    </xf>
    <xf numFmtId="0" fontId="12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26" fillId="0" borderId="1" xfId="2" applyFont="1" applyBorder="1" applyAlignment="1">
      <alignment vertical="center" wrapText="1"/>
    </xf>
    <xf numFmtId="0" fontId="26" fillId="4" borderId="1" xfId="2" applyFont="1" applyFill="1" applyBorder="1" applyAlignment="1">
      <alignment vertical="center"/>
    </xf>
    <xf numFmtId="0" fontId="26" fillId="4" borderId="1" xfId="2" applyFont="1" applyFill="1" applyBorder="1" applyAlignment="1">
      <alignment vertical="center" wrapText="1"/>
    </xf>
    <xf numFmtId="164" fontId="26" fillId="0" borderId="1" xfId="2" applyNumberFormat="1" applyFont="1" applyBorder="1" applyAlignment="1">
      <alignment vertical="center" wrapText="1"/>
    </xf>
    <xf numFmtId="166" fontId="26" fillId="4" borderId="1" xfId="2" applyNumberFormat="1" applyFont="1" applyFill="1" applyBorder="1" applyAlignment="1">
      <alignment vertical="center"/>
    </xf>
    <xf numFmtId="166" fontId="19" fillId="4" borderId="1" xfId="1" applyNumberFormat="1" applyFont="1" applyFill="1" applyBorder="1" applyAlignment="1">
      <alignment vertical="center"/>
    </xf>
    <xf numFmtId="166" fontId="19" fillId="0" borderId="1" xfId="1" applyNumberFormat="1" applyFont="1" applyFill="1" applyBorder="1" applyAlignment="1">
      <alignment vertical="center"/>
    </xf>
    <xf numFmtId="3" fontId="30" fillId="4" borderId="1" xfId="2" applyNumberFormat="1" applyFont="1" applyFill="1" applyBorder="1" applyAlignment="1">
      <alignment horizontal="right" vertical="center" wrapText="1"/>
    </xf>
    <xf numFmtId="3" fontId="31" fillId="4" borderId="1" xfId="2" applyNumberFormat="1" applyFont="1" applyFill="1" applyBorder="1" applyAlignment="1">
      <alignment horizontal="right" vertical="center" wrapText="1"/>
    </xf>
    <xf numFmtId="4" fontId="31" fillId="0" borderId="1" xfId="17" applyNumberFormat="1" applyFont="1" applyFill="1" applyBorder="1" applyAlignment="1">
      <alignment horizontal="right" vertical="center"/>
    </xf>
    <xf numFmtId="0" fontId="0" fillId="0" borderId="1" xfId="0" applyBorder="1"/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justify" vertical="center" wrapText="1"/>
    </xf>
    <xf numFmtId="166" fontId="0" fillId="0" borderId="1" xfId="7" applyNumberFormat="1" applyFont="1" applyBorder="1"/>
    <xf numFmtId="0" fontId="24" fillId="0" borderId="1" xfId="0" applyFont="1" applyBorder="1" applyAlignment="1">
      <alignment horizontal="justify" vertical="center" wrapText="1"/>
    </xf>
    <xf numFmtId="166" fontId="0" fillId="0" borderId="1" xfId="0" applyNumberFormat="1" applyBorder="1"/>
    <xf numFmtId="0" fontId="12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20" fillId="0" borderId="0" xfId="6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1" fillId="0" borderId="0" xfId="2" applyFont="1" applyAlignment="1">
      <alignment horizontal="center" wrapText="1"/>
    </xf>
    <xf numFmtId="0" fontId="8" fillId="0" borderId="0" xfId="2" applyFont="1" applyAlignment="1">
      <alignment horizontal="center" wrapText="1"/>
    </xf>
    <xf numFmtId="0" fontId="10" fillId="0" borderId="0" xfId="2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6" fillId="3" borderId="0" xfId="0" applyFont="1" applyFill="1" applyAlignment="1">
      <alignment horizontal="center" wrapText="1"/>
    </xf>
    <xf numFmtId="0" fontId="17" fillId="3" borderId="0" xfId="0" applyFont="1" applyFill="1" applyAlignment="1">
      <alignment horizontal="center" wrapText="1"/>
    </xf>
    <xf numFmtId="0" fontId="26" fillId="0" borderId="2" xfId="2" applyFont="1" applyFill="1" applyBorder="1" applyAlignment="1">
      <alignment horizontal="center" vertical="center" wrapText="1"/>
    </xf>
    <xf numFmtId="0" fontId="26" fillId="0" borderId="3" xfId="2" applyFont="1" applyFill="1" applyBorder="1" applyAlignment="1">
      <alignment horizontal="center" vertical="center" wrapText="1"/>
    </xf>
    <xf numFmtId="0" fontId="26" fillId="0" borderId="1" xfId="2" applyFont="1" applyBorder="1" applyAlignment="1">
      <alignment horizontal="center" vertical="center"/>
    </xf>
  </cellXfs>
  <cellStyles count="18">
    <cellStyle name="Comma" xfId="1" builtinId="3"/>
    <cellStyle name="Comma 2" xfId="5"/>
    <cellStyle name="Comma 2 2" xfId="4"/>
    <cellStyle name="Comma 2 2 2" xfId="9"/>
    <cellStyle name="Comma 2 3" xfId="7"/>
    <cellStyle name="Comma 2 4" xfId="8"/>
    <cellStyle name="Normal" xfId="0" builtinId="0"/>
    <cellStyle name="Normal 2" xfId="2"/>
    <cellStyle name="Normal 2 2" xfId="3"/>
    <cellStyle name="Normal 2 3" xfId="6"/>
    <cellStyle name="Normal 3" xfId="10"/>
    <cellStyle name="Normal 4" xfId="11"/>
    <cellStyle name="Normal 5" xfId="12"/>
    <cellStyle name="Normal 6" xfId="13"/>
    <cellStyle name="Normal 7" xfId="14"/>
    <cellStyle name="Normal 8" xfId="15"/>
    <cellStyle name="Normal 9" xfId="16"/>
    <cellStyle name="Percent" xfId="1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855311</xdr:colOff>
      <xdr:row>3</xdr:row>
      <xdr:rowOff>9525</xdr:rowOff>
    </xdr:from>
    <xdr:to>
      <xdr:col>2</xdr:col>
      <xdr:colOff>68614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259171" y="634365"/>
          <a:ext cx="5391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203510</xdr:colOff>
      <xdr:row>2</xdr:row>
      <xdr:rowOff>28575</xdr:rowOff>
    </xdr:from>
    <xdr:to>
      <xdr:col>30</xdr:col>
      <xdr:colOff>402279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512870" y="455295"/>
          <a:ext cx="198184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</xdr:row>
      <xdr:rowOff>28575</xdr:rowOff>
    </xdr:from>
    <xdr:to>
      <xdr:col>21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1269980" y="455295"/>
          <a:ext cx="30937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</xdr:row>
      <xdr:rowOff>28575</xdr:rowOff>
    </xdr:from>
    <xdr:to>
      <xdr:col>29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7734300" y="455295"/>
          <a:ext cx="24993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</xdr:row>
      <xdr:rowOff>28575</xdr:rowOff>
    </xdr:from>
    <xdr:to>
      <xdr:col>18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0332720" y="455295"/>
          <a:ext cx="24993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</xdr:row>
      <xdr:rowOff>28575</xdr:rowOff>
    </xdr:from>
    <xdr:to>
      <xdr:col>18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151620" y="455295"/>
          <a:ext cx="3688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</xdr:row>
      <xdr:rowOff>28575</xdr:rowOff>
    </xdr:from>
    <xdr:to>
      <xdr:col>18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151620" y="455295"/>
          <a:ext cx="3688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</xdr:row>
      <xdr:rowOff>28575</xdr:rowOff>
    </xdr:from>
    <xdr:to>
      <xdr:col>18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151620" y="455295"/>
          <a:ext cx="3688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6"/>
  <sheetViews>
    <sheetView topLeftCell="L1" workbookViewId="0">
      <selection activeCell="Q10" sqref="Q10"/>
    </sheetView>
  </sheetViews>
  <sheetFormatPr defaultRowHeight="14.4" outlineLevelRow="1" outlineLevelCol="1" x14ac:dyDescent="0.3"/>
  <cols>
    <col min="1" max="1" width="5.88671875" customWidth="1"/>
    <col min="2" max="2" width="19.33203125" customWidth="1"/>
    <col min="3" max="4" width="13.5546875" customWidth="1" outlineLevel="1"/>
    <col min="5" max="5" width="10.88671875" customWidth="1" outlineLevel="1"/>
    <col min="6" max="6" width="13.21875" customWidth="1" outlineLevel="1"/>
    <col min="7" max="7" width="8.6640625" customWidth="1"/>
    <col min="8" max="8" width="10.5546875" customWidth="1"/>
    <col min="9" max="9" width="10" customWidth="1"/>
    <col min="10" max="11" width="10.33203125" customWidth="1"/>
    <col min="12" max="13" width="9" customWidth="1"/>
    <col min="14" max="15" width="8.6640625" customWidth="1" outlineLevel="1"/>
    <col min="16" max="17" width="12.109375" customWidth="1" outlineLevel="1"/>
    <col min="18" max="19" width="10.33203125" customWidth="1"/>
    <col min="20" max="20" width="8.88671875" customWidth="1"/>
    <col min="21" max="21" width="9.21875" customWidth="1"/>
    <col min="22" max="23" width="8.6640625" hidden="1" customWidth="1" outlineLevel="1"/>
    <col min="24" max="25" width="11.109375" customWidth="1" outlineLevel="1"/>
    <col min="26" max="28" width="8.6640625" customWidth="1"/>
    <col min="29" max="29" width="8" customWidth="1"/>
    <col min="30" max="31" width="8.6640625" hidden="1" customWidth="1" outlineLevel="1"/>
    <col min="32" max="33" width="11.5546875" customWidth="1" outlineLevel="1"/>
    <col min="34" max="36" width="8.6640625" customWidth="1"/>
    <col min="37" max="37" width="6.88671875" customWidth="1"/>
    <col min="38" max="38" width="9.44140625" customWidth="1"/>
  </cols>
  <sheetData>
    <row r="1" spans="1:40" ht="17.25" customHeight="1" x14ac:dyDescent="0.3">
      <c r="A1" s="118" t="s">
        <v>21</v>
      </c>
      <c r="B1" s="117"/>
      <c r="C1" s="117"/>
      <c r="D1" s="20"/>
      <c r="E1" s="20"/>
      <c r="F1" s="20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119" t="s">
        <v>2</v>
      </c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7"/>
      <c r="AL1" s="20"/>
    </row>
    <row r="2" spans="1:40" ht="16.8" x14ac:dyDescent="0.3">
      <c r="A2" s="119" t="s">
        <v>19</v>
      </c>
      <c r="B2" s="117"/>
      <c r="C2" s="117"/>
      <c r="D2" s="20"/>
      <c r="E2" s="20"/>
      <c r="F2" s="20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120" t="s">
        <v>3</v>
      </c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17"/>
      <c r="AL2" s="20"/>
    </row>
    <row r="3" spans="1:40" ht="15.75" customHeight="1" x14ac:dyDescent="0.3">
      <c r="A3" s="119" t="s">
        <v>20</v>
      </c>
      <c r="B3" s="117"/>
      <c r="C3" s="117"/>
      <c r="D3" s="20"/>
      <c r="E3" s="20"/>
      <c r="F3" s="20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"/>
      <c r="AE3" s="1"/>
      <c r="AF3" s="1"/>
      <c r="AG3" s="1"/>
      <c r="AH3" s="1"/>
      <c r="AI3" s="1"/>
      <c r="AJ3" s="1"/>
      <c r="AK3" s="1"/>
      <c r="AL3" s="1"/>
    </row>
    <row r="4" spans="1:40" ht="12" customHeight="1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0"/>
      <c r="AE4" s="20"/>
      <c r="AF4" s="20"/>
      <c r="AG4" s="20"/>
      <c r="AH4" s="20"/>
      <c r="AI4" s="20"/>
      <c r="AJ4" s="20"/>
      <c r="AK4" s="20"/>
      <c r="AL4" s="20"/>
    </row>
    <row r="5" spans="1:40" ht="19.5" customHeight="1" x14ac:dyDescent="0.3">
      <c r="A5" s="116" t="s">
        <v>39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7"/>
      <c r="AE5" s="117"/>
      <c r="AF5" s="117"/>
      <c r="AG5" s="117"/>
      <c r="AH5" s="117"/>
      <c r="AI5" s="117"/>
      <c r="AJ5" s="117"/>
      <c r="AK5" s="117"/>
      <c r="AL5" s="20"/>
    </row>
    <row r="6" spans="1:40" ht="18" customHeight="1" x14ac:dyDescent="0.35">
      <c r="A6" s="121" t="s">
        <v>18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2"/>
      <c r="AE6" s="122"/>
      <c r="AF6" s="122"/>
      <c r="AG6" s="122"/>
      <c r="AH6" s="122"/>
      <c r="AI6" s="122"/>
      <c r="AJ6" s="122"/>
      <c r="AK6" s="122"/>
      <c r="AL6" s="24"/>
    </row>
    <row r="7" spans="1:40" ht="17.25" customHeigh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7" t="s">
        <v>16</v>
      </c>
      <c r="AL7" s="7"/>
    </row>
    <row r="8" spans="1:40" ht="31.2" customHeight="1" x14ac:dyDescent="0.3">
      <c r="A8" s="125" t="s">
        <v>0</v>
      </c>
      <c r="B8" s="125" t="s">
        <v>12</v>
      </c>
      <c r="C8" s="123" t="s">
        <v>31</v>
      </c>
      <c r="D8" s="124"/>
      <c r="E8" s="124"/>
      <c r="F8" s="124"/>
      <c r="G8" s="124"/>
      <c r="H8" s="127" t="s">
        <v>32</v>
      </c>
      <c r="I8" s="128"/>
      <c r="J8" s="128"/>
      <c r="K8" s="128"/>
      <c r="L8" s="128"/>
      <c r="M8" s="51"/>
      <c r="N8" s="123" t="s">
        <v>10</v>
      </c>
      <c r="O8" s="124"/>
      <c r="P8" s="124"/>
      <c r="Q8" s="124"/>
      <c r="R8" s="124"/>
      <c r="S8" s="124"/>
      <c r="T8" s="129"/>
      <c r="U8" s="52"/>
      <c r="V8" s="123" t="s">
        <v>9</v>
      </c>
      <c r="W8" s="124"/>
      <c r="X8" s="124"/>
      <c r="Y8" s="124"/>
      <c r="Z8" s="124"/>
      <c r="AA8" s="124"/>
      <c r="AB8" s="129"/>
      <c r="AC8" s="58"/>
      <c r="AD8" s="130" t="s">
        <v>11</v>
      </c>
      <c r="AE8" s="131"/>
      <c r="AF8" s="131"/>
      <c r="AG8" s="131"/>
      <c r="AH8" s="131"/>
      <c r="AI8" s="131"/>
      <c r="AJ8" s="132"/>
      <c r="AK8" s="114" t="s">
        <v>8</v>
      </c>
      <c r="AL8" s="34"/>
    </row>
    <row r="9" spans="1:40" ht="70.2" customHeight="1" x14ac:dyDescent="0.3">
      <c r="A9" s="126"/>
      <c r="B9" s="126"/>
      <c r="C9" s="42" t="s">
        <v>27</v>
      </c>
      <c r="D9" s="41" t="s">
        <v>38</v>
      </c>
      <c r="E9" s="43" t="s">
        <v>17</v>
      </c>
      <c r="F9" s="41" t="s">
        <v>40</v>
      </c>
      <c r="G9" s="43" t="s">
        <v>17</v>
      </c>
      <c r="H9" s="41" t="s">
        <v>28</v>
      </c>
      <c r="I9" s="41" t="s">
        <v>29</v>
      </c>
      <c r="J9" s="41" t="s">
        <v>35</v>
      </c>
      <c r="K9" s="41" t="s">
        <v>37</v>
      </c>
      <c r="L9" s="41" t="s">
        <v>30</v>
      </c>
      <c r="M9" s="41" t="s">
        <v>33</v>
      </c>
      <c r="N9" s="41" t="s">
        <v>28</v>
      </c>
      <c r="O9" s="41" t="s">
        <v>29</v>
      </c>
      <c r="P9" s="41" t="s">
        <v>35</v>
      </c>
      <c r="Q9" s="41" t="s">
        <v>37</v>
      </c>
      <c r="R9" s="41" t="s">
        <v>30</v>
      </c>
      <c r="S9" s="41" t="s">
        <v>34</v>
      </c>
      <c r="T9" s="43" t="s">
        <v>17</v>
      </c>
      <c r="U9" s="41" t="s">
        <v>33</v>
      </c>
      <c r="V9" s="41" t="s">
        <v>28</v>
      </c>
      <c r="W9" s="41" t="s">
        <v>29</v>
      </c>
      <c r="X9" s="41" t="s">
        <v>35</v>
      </c>
      <c r="Y9" s="41" t="s">
        <v>37</v>
      </c>
      <c r="Z9" s="41" t="s">
        <v>30</v>
      </c>
      <c r="AA9" s="41" t="s">
        <v>34</v>
      </c>
      <c r="AB9" s="43" t="s">
        <v>17</v>
      </c>
      <c r="AC9" s="41" t="s">
        <v>33</v>
      </c>
      <c r="AD9" s="41" t="s">
        <v>28</v>
      </c>
      <c r="AE9" s="41" t="s">
        <v>29</v>
      </c>
      <c r="AF9" s="41" t="s">
        <v>35</v>
      </c>
      <c r="AG9" s="41" t="s">
        <v>37</v>
      </c>
      <c r="AH9" s="41" t="s">
        <v>30</v>
      </c>
      <c r="AI9" s="41" t="s">
        <v>34</v>
      </c>
      <c r="AJ9" s="43" t="s">
        <v>17</v>
      </c>
      <c r="AK9" s="115"/>
      <c r="AL9" s="34"/>
      <c r="AM9" s="34"/>
    </row>
    <row r="10" spans="1:40" ht="18" customHeight="1" outlineLevel="1" x14ac:dyDescent="0.3">
      <c r="A10" s="26">
        <v>1</v>
      </c>
      <c r="B10" s="27" t="s">
        <v>23</v>
      </c>
      <c r="C10" s="44">
        <v>39212</v>
      </c>
      <c r="D10" s="39">
        <v>39212</v>
      </c>
      <c r="E10" s="29">
        <f t="shared" ref="E10:E17" si="0">D10/C10*100</f>
        <v>100</v>
      </c>
      <c r="F10" s="39">
        <v>38304</v>
      </c>
      <c r="G10" s="29">
        <f t="shared" ref="G10:G17" si="1">F10/C10*100</f>
        <v>97.684382331939204</v>
      </c>
      <c r="H10" s="29"/>
      <c r="I10" s="29"/>
      <c r="J10" s="29"/>
      <c r="K10" s="29"/>
      <c r="L10" s="29"/>
      <c r="M10" s="47"/>
      <c r="N10" s="30">
        <v>1637</v>
      </c>
      <c r="O10" s="30">
        <v>1644</v>
      </c>
      <c r="P10" s="30">
        <v>1651</v>
      </c>
      <c r="Q10" s="30">
        <v>1652</v>
      </c>
      <c r="R10" s="31">
        <f t="shared" ref="R10:R17" si="2">Q10-P10</f>
        <v>1</v>
      </c>
      <c r="S10" s="31"/>
      <c r="T10" s="31"/>
      <c r="U10" s="31"/>
      <c r="V10" s="30">
        <v>1449</v>
      </c>
      <c r="W10" s="30">
        <v>1435</v>
      </c>
      <c r="X10" s="30">
        <v>1457</v>
      </c>
      <c r="Y10" s="30">
        <v>1445</v>
      </c>
      <c r="Z10" s="53">
        <f t="shared" ref="Z10:Z17" si="3">Y10-X10</f>
        <v>-12</v>
      </c>
      <c r="AA10" s="53"/>
      <c r="AB10" s="31"/>
      <c r="AC10" s="31"/>
      <c r="AD10" s="31">
        <v>1318</v>
      </c>
      <c r="AE10" s="31">
        <f>1290+19</f>
        <v>1309</v>
      </c>
      <c r="AF10" s="31">
        <f>1184+41+87</f>
        <v>1312</v>
      </c>
      <c r="AG10" s="31">
        <v>1670</v>
      </c>
      <c r="AH10" s="53">
        <f t="shared" ref="AH10:AH17" si="4">AG10-AF10</f>
        <v>358</v>
      </c>
      <c r="AI10" s="53"/>
      <c r="AJ10" s="31"/>
      <c r="AK10" s="28"/>
      <c r="AL10" s="35"/>
      <c r="AM10" s="10"/>
      <c r="AN10" s="10"/>
    </row>
    <row r="11" spans="1:40" ht="18" customHeight="1" outlineLevel="1" x14ac:dyDescent="0.3">
      <c r="A11" s="26">
        <v>2</v>
      </c>
      <c r="B11" s="27" t="s">
        <v>14</v>
      </c>
      <c r="C11" s="44">
        <v>29794</v>
      </c>
      <c r="D11" s="39">
        <v>29794</v>
      </c>
      <c r="E11" s="29">
        <f t="shared" si="0"/>
        <v>100</v>
      </c>
      <c r="F11" s="39">
        <v>29794</v>
      </c>
      <c r="G11" s="29">
        <f t="shared" si="1"/>
        <v>100</v>
      </c>
      <c r="H11" s="29"/>
      <c r="I11" s="29"/>
      <c r="J11" s="29"/>
      <c r="K11" s="29"/>
      <c r="L11" s="29"/>
      <c r="M11" s="47"/>
      <c r="N11" s="30">
        <v>418</v>
      </c>
      <c r="O11" s="30">
        <v>443</v>
      </c>
      <c r="P11" s="30">
        <v>442</v>
      </c>
      <c r="Q11" s="30">
        <v>487</v>
      </c>
      <c r="R11" s="31">
        <f t="shared" si="2"/>
        <v>45</v>
      </c>
      <c r="S11" s="31"/>
      <c r="T11" s="31"/>
      <c r="U11" s="31"/>
      <c r="V11" s="30">
        <v>328</v>
      </c>
      <c r="W11" s="30">
        <v>353</v>
      </c>
      <c r="X11" s="30">
        <v>352</v>
      </c>
      <c r="Y11" s="30">
        <v>350</v>
      </c>
      <c r="Z11" s="53">
        <f t="shared" si="3"/>
        <v>-2</v>
      </c>
      <c r="AA11" s="53"/>
      <c r="AB11" s="31"/>
      <c r="AC11" s="31"/>
      <c r="AD11" s="31">
        <v>739</v>
      </c>
      <c r="AE11" s="31">
        <f>696+18</f>
        <v>714</v>
      </c>
      <c r="AF11" s="31">
        <f>623+34+87</f>
        <v>744</v>
      </c>
      <c r="AG11" s="31">
        <v>590</v>
      </c>
      <c r="AH11" s="53">
        <f t="shared" si="4"/>
        <v>-154</v>
      </c>
      <c r="AI11" s="53"/>
      <c r="AJ11" s="31"/>
      <c r="AK11" s="28"/>
      <c r="AL11" s="35"/>
      <c r="AM11" s="10"/>
      <c r="AN11" s="10"/>
    </row>
    <row r="12" spans="1:40" ht="18" customHeight="1" outlineLevel="1" x14ac:dyDescent="0.3">
      <c r="A12" s="26">
        <v>3</v>
      </c>
      <c r="B12" s="27" t="s">
        <v>15</v>
      </c>
      <c r="C12" s="44">
        <v>25653</v>
      </c>
      <c r="D12" s="39">
        <v>25290</v>
      </c>
      <c r="E12" s="29">
        <f t="shared" si="0"/>
        <v>98.584960823295518</v>
      </c>
      <c r="F12" s="39">
        <v>21735</v>
      </c>
      <c r="G12" s="29">
        <f t="shared" si="1"/>
        <v>84.726932522511987</v>
      </c>
      <c r="H12" s="29"/>
      <c r="I12" s="29"/>
      <c r="J12" s="29"/>
      <c r="K12" s="29"/>
      <c r="L12" s="29"/>
      <c r="M12" s="47"/>
      <c r="N12" s="30">
        <v>513</v>
      </c>
      <c r="O12" s="30">
        <v>534</v>
      </c>
      <c r="P12" s="30">
        <v>538</v>
      </c>
      <c r="Q12" s="30">
        <v>539</v>
      </c>
      <c r="R12" s="31">
        <f t="shared" si="2"/>
        <v>1</v>
      </c>
      <c r="S12" s="31"/>
      <c r="T12" s="31"/>
      <c r="U12" s="31"/>
      <c r="V12" s="30">
        <v>371</v>
      </c>
      <c r="W12" s="30">
        <v>398</v>
      </c>
      <c r="X12" s="30">
        <v>399</v>
      </c>
      <c r="Y12" s="30">
        <v>397</v>
      </c>
      <c r="Z12" s="53">
        <f t="shared" si="3"/>
        <v>-2</v>
      </c>
      <c r="AA12" s="53"/>
      <c r="AB12" s="31"/>
      <c r="AC12" s="31"/>
      <c r="AD12" s="31">
        <v>706</v>
      </c>
      <c r="AE12" s="31">
        <f>677+18</f>
        <v>695</v>
      </c>
      <c r="AF12" s="31">
        <f>680+37+87</f>
        <v>804</v>
      </c>
      <c r="AG12" s="31">
        <v>816</v>
      </c>
      <c r="AH12" s="53">
        <f t="shared" si="4"/>
        <v>12</v>
      </c>
      <c r="AI12" s="53"/>
      <c r="AJ12" s="31"/>
      <c r="AK12" s="28"/>
      <c r="AL12" s="35"/>
      <c r="AM12" s="10"/>
      <c r="AN12" s="10"/>
    </row>
    <row r="13" spans="1:40" ht="18" customHeight="1" outlineLevel="1" x14ac:dyDescent="0.3">
      <c r="A13" s="26">
        <v>4</v>
      </c>
      <c r="B13" s="27" t="s">
        <v>13</v>
      </c>
      <c r="C13" s="44">
        <v>51522</v>
      </c>
      <c r="D13" s="39">
        <v>51522</v>
      </c>
      <c r="E13" s="29">
        <f t="shared" si="0"/>
        <v>100</v>
      </c>
      <c r="F13" s="40">
        <v>49373</v>
      </c>
      <c r="G13" s="29">
        <f t="shared" si="1"/>
        <v>95.828966266837469</v>
      </c>
      <c r="H13" s="29"/>
      <c r="I13" s="29"/>
      <c r="J13" s="29"/>
      <c r="K13" s="29"/>
      <c r="L13" s="29"/>
      <c r="M13" s="47"/>
      <c r="N13" s="30">
        <v>1068</v>
      </c>
      <c r="O13" s="30">
        <v>1098</v>
      </c>
      <c r="P13" s="30">
        <v>1097</v>
      </c>
      <c r="Q13" s="30">
        <v>1101</v>
      </c>
      <c r="R13" s="31">
        <f t="shared" si="2"/>
        <v>4</v>
      </c>
      <c r="S13" s="31"/>
      <c r="T13" s="31"/>
      <c r="U13" s="31"/>
      <c r="V13" s="30">
        <v>873</v>
      </c>
      <c r="W13" s="30">
        <v>898</v>
      </c>
      <c r="X13" s="30">
        <v>897</v>
      </c>
      <c r="Y13" s="30">
        <v>910</v>
      </c>
      <c r="Z13" s="53">
        <f t="shared" si="3"/>
        <v>13</v>
      </c>
      <c r="AA13" s="53"/>
      <c r="AB13" s="31"/>
      <c r="AC13" s="31"/>
      <c r="AD13" s="31">
        <v>920</v>
      </c>
      <c r="AE13" s="31">
        <f>872+18</f>
        <v>890</v>
      </c>
      <c r="AF13" s="31">
        <f>833+117+87</f>
        <v>1037</v>
      </c>
      <c r="AG13" s="31">
        <v>1451</v>
      </c>
      <c r="AH13" s="53">
        <f t="shared" si="4"/>
        <v>414</v>
      </c>
      <c r="AI13" s="53"/>
      <c r="AJ13" s="31"/>
      <c r="AK13" s="28"/>
      <c r="AL13" s="35"/>
      <c r="AM13" s="10"/>
      <c r="AN13" s="10"/>
    </row>
    <row r="14" spans="1:40" ht="18" customHeight="1" outlineLevel="1" x14ac:dyDescent="0.3">
      <c r="A14" s="26">
        <v>5</v>
      </c>
      <c r="B14" s="38" t="s">
        <v>24</v>
      </c>
      <c r="C14" s="44">
        <v>27655</v>
      </c>
      <c r="D14" s="40">
        <v>27655</v>
      </c>
      <c r="E14" s="29">
        <f t="shared" si="0"/>
        <v>100</v>
      </c>
      <c r="F14" s="40">
        <v>27655</v>
      </c>
      <c r="G14" s="29">
        <f t="shared" si="1"/>
        <v>100</v>
      </c>
      <c r="H14" s="29"/>
      <c r="I14" s="29"/>
      <c r="J14" s="29"/>
      <c r="K14" s="29"/>
      <c r="L14" s="29"/>
      <c r="M14" s="47"/>
      <c r="N14" s="45">
        <v>664</v>
      </c>
      <c r="O14" s="45">
        <v>1007</v>
      </c>
      <c r="P14" s="30">
        <v>1013</v>
      </c>
      <c r="Q14" s="30">
        <v>1008</v>
      </c>
      <c r="R14" s="31">
        <f t="shared" si="2"/>
        <v>-5</v>
      </c>
      <c r="S14" s="31"/>
      <c r="T14" s="31"/>
      <c r="U14" s="31"/>
      <c r="V14" s="54">
        <v>599</v>
      </c>
      <c r="W14" s="54">
        <v>910</v>
      </c>
      <c r="X14" s="54">
        <v>919</v>
      </c>
      <c r="Y14" s="54">
        <v>914</v>
      </c>
      <c r="Z14" s="53">
        <f t="shared" si="3"/>
        <v>-5</v>
      </c>
      <c r="AA14" s="53"/>
      <c r="AB14" s="31"/>
      <c r="AC14" s="31"/>
      <c r="AD14" s="54">
        <v>795</v>
      </c>
      <c r="AE14" s="54">
        <v>791</v>
      </c>
      <c r="AF14" s="54">
        <f>789+87</f>
        <v>876</v>
      </c>
      <c r="AG14" s="54">
        <v>1007</v>
      </c>
      <c r="AH14" s="53">
        <f t="shared" si="4"/>
        <v>131</v>
      </c>
      <c r="AI14" s="53"/>
      <c r="AJ14" s="31"/>
      <c r="AK14" s="28"/>
      <c r="AL14" s="35"/>
      <c r="AM14" s="10"/>
      <c r="AN14" s="10"/>
    </row>
    <row r="15" spans="1:40" ht="18" customHeight="1" outlineLevel="1" x14ac:dyDescent="0.3">
      <c r="A15" s="26">
        <v>6</v>
      </c>
      <c r="B15" s="38" t="s">
        <v>25</v>
      </c>
      <c r="C15" s="44">
        <v>28864</v>
      </c>
      <c r="D15" s="40">
        <v>28319</v>
      </c>
      <c r="E15" s="29">
        <f t="shared" si="0"/>
        <v>98.111834811529931</v>
      </c>
      <c r="F15" s="40">
        <v>25491</v>
      </c>
      <c r="G15" s="29">
        <f t="shared" si="1"/>
        <v>88.314162971175165</v>
      </c>
      <c r="H15" s="29"/>
      <c r="I15" s="29"/>
      <c r="J15" s="29"/>
      <c r="K15" s="29"/>
      <c r="L15" s="29"/>
      <c r="M15" s="47"/>
      <c r="N15" s="45">
        <v>452</v>
      </c>
      <c r="O15" s="45">
        <v>436</v>
      </c>
      <c r="P15" s="30">
        <v>464</v>
      </c>
      <c r="Q15" s="30">
        <v>464</v>
      </c>
      <c r="R15" s="31">
        <f t="shared" si="2"/>
        <v>0</v>
      </c>
      <c r="S15" s="31"/>
      <c r="T15" s="31"/>
      <c r="U15" s="31"/>
      <c r="V15" s="54">
        <v>364</v>
      </c>
      <c r="W15" s="54">
        <v>374</v>
      </c>
      <c r="X15" s="54">
        <v>385</v>
      </c>
      <c r="Y15" s="54">
        <v>372</v>
      </c>
      <c r="Z15" s="53">
        <f t="shared" si="3"/>
        <v>-13</v>
      </c>
      <c r="AA15" s="53"/>
      <c r="AB15" s="31"/>
      <c r="AC15" s="31"/>
      <c r="AD15" s="54">
        <v>691</v>
      </c>
      <c r="AE15" s="54">
        <f>663+13+17</f>
        <v>693</v>
      </c>
      <c r="AF15" s="54">
        <f>690+25</f>
        <v>715</v>
      </c>
      <c r="AG15" s="54">
        <v>980</v>
      </c>
      <c r="AH15" s="53">
        <f t="shared" si="4"/>
        <v>265</v>
      </c>
      <c r="AI15" s="53"/>
      <c r="AJ15" s="31"/>
      <c r="AK15" s="28"/>
      <c r="AL15" s="35"/>
      <c r="AM15" s="10"/>
      <c r="AN15" s="10"/>
    </row>
    <row r="16" spans="1:40" ht="18" customHeight="1" outlineLevel="1" x14ac:dyDescent="0.3">
      <c r="A16" s="26">
        <v>7</v>
      </c>
      <c r="B16" s="38" t="s">
        <v>26</v>
      </c>
      <c r="C16" s="44">
        <v>24621</v>
      </c>
      <c r="D16" s="40">
        <v>24192</v>
      </c>
      <c r="E16" s="29">
        <f t="shared" si="0"/>
        <v>98.257584988424512</v>
      </c>
      <c r="F16" s="40">
        <v>20403</v>
      </c>
      <c r="G16" s="29">
        <f t="shared" si="1"/>
        <v>82.868283172901187</v>
      </c>
      <c r="H16" s="29"/>
      <c r="I16" s="29"/>
      <c r="J16" s="29"/>
      <c r="K16" s="29"/>
      <c r="L16" s="29"/>
      <c r="M16" s="47"/>
      <c r="N16" s="45">
        <v>409</v>
      </c>
      <c r="O16" s="45">
        <v>463</v>
      </c>
      <c r="P16" s="30">
        <v>461</v>
      </c>
      <c r="Q16" s="30">
        <v>461</v>
      </c>
      <c r="R16" s="31">
        <f t="shared" si="2"/>
        <v>0</v>
      </c>
      <c r="S16" s="31"/>
      <c r="T16" s="31"/>
      <c r="U16" s="31"/>
      <c r="V16" s="54">
        <v>342</v>
      </c>
      <c r="W16" s="54">
        <v>381</v>
      </c>
      <c r="X16" s="54">
        <v>384</v>
      </c>
      <c r="Y16" s="54">
        <v>383</v>
      </c>
      <c r="Z16" s="53">
        <f t="shared" si="3"/>
        <v>-1</v>
      </c>
      <c r="AA16" s="53"/>
      <c r="AB16" s="31"/>
      <c r="AC16" s="31"/>
      <c r="AD16" s="54">
        <v>419</v>
      </c>
      <c r="AE16" s="54">
        <f>410+15</f>
        <v>425</v>
      </c>
      <c r="AF16" s="54">
        <f>816+129</f>
        <v>945</v>
      </c>
      <c r="AG16" s="54">
        <v>1040</v>
      </c>
      <c r="AH16" s="53">
        <f t="shared" si="4"/>
        <v>95</v>
      </c>
      <c r="AI16" s="53"/>
      <c r="AJ16" s="31"/>
      <c r="AK16" s="28"/>
      <c r="AL16" s="35"/>
      <c r="AM16" s="10"/>
      <c r="AN16" s="10"/>
    </row>
    <row r="17" spans="1:40" s="16" customFormat="1" ht="18" customHeight="1" x14ac:dyDescent="0.3">
      <c r="A17" s="112" t="s">
        <v>1</v>
      </c>
      <c r="B17" s="112"/>
      <c r="C17" s="18">
        <f>SUM(C10:C16)</f>
        <v>227321</v>
      </c>
      <c r="D17" s="18">
        <f>SUM(D10:D16)</f>
        <v>225984</v>
      </c>
      <c r="E17" s="32">
        <f t="shared" si="0"/>
        <v>99.411844924138109</v>
      </c>
      <c r="F17" s="18">
        <f>SUM(F10:F16)</f>
        <v>212755</v>
      </c>
      <c r="G17" s="32">
        <f t="shared" si="1"/>
        <v>93.592320991021509</v>
      </c>
      <c r="H17" s="48">
        <v>159737</v>
      </c>
      <c r="I17" s="48">
        <v>169171</v>
      </c>
      <c r="J17" s="48">
        <v>165192</v>
      </c>
      <c r="K17" s="48">
        <v>198269</v>
      </c>
      <c r="L17" s="48">
        <f>K17-J17</f>
        <v>33077</v>
      </c>
      <c r="M17" s="46">
        <v>5610</v>
      </c>
      <c r="N17" s="18">
        <f>SUM(N10:N16)</f>
        <v>5161</v>
      </c>
      <c r="O17" s="18">
        <f>SUM(O10:O16)</f>
        <v>5625</v>
      </c>
      <c r="P17" s="50">
        <f>SUM(P10:P16)</f>
        <v>5666</v>
      </c>
      <c r="Q17" s="50">
        <f>SUM(Q10:Q16)</f>
        <v>5712</v>
      </c>
      <c r="R17" s="55">
        <f t="shared" si="2"/>
        <v>46</v>
      </c>
      <c r="S17" s="55">
        <f>M17-P17</f>
        <v>-56</v>
      </c>
      <c r="T17" s="57">
        <f>Q17/M17*100</f>
        <v>101.81818181818181</v>
      </c>
      <c r="U17" s="55">
        <v>4793</v>
      </c>
      <c r="V17" s="18">
        <f>SUM(V10:V16)</f>
        <v>4326</v>
      </c>
      <c r="W17" s="18">
        <f>SUM(W10:W16)</f>
        <v>4749</v>
      </c>
      <c r="X17" s="18">
        <f>SUM(X10:X16)</f>
        <v>4793</v>
      </c>
      <c r="Y17" s="18">
        <f>SUM(Y10:Y16)</f>
        <v>4771</v>
      </c>
      <c r="Z17" s="56">
        <f t="shared" si="3"/>
        <v>-22</v>
      </c>
      <c r="AA17" s="56">
        <f>U17-X17</f>
        <v>0</v>
      </c>
      <c r="AB17" s="57">
        <f>Y17/U17*100</f>
        <v>99.540997287711235</v>
      </c>
      <c r="AC17" s="55">
        <v>7709</v>
      </c>
      <c r="AD17" s="18">
        <f>SUM(AD10:AD16)</f>
        <v>5588</v>
      </c>
      <c r="AE17" s="18">
        <f>SUM(AE10:AE16)</f>
        <v>5517</v>
      </c>
      <c r="AF17" s="18">
        <f>SUM(AF10:AF16)</f>
        <v>6433</v>
      </c>
      <c r="AG17" s="18">
        <f>SUM(AG10:AG16)</f>
        <v>7554</v>
      </c>
      <c r="AH17" s="56">
        <f t="shared" si="4"/>
        <v>1121</v>
      </c>
      <c r="AI17" s="56">
        <f>AC17-AF17</f>
        <v>1276</v>
      </c>
      <c r="AJ17" s="57">
        <f>AG17/AC17*100</f>
        <v>97.989363082111808</v>
      </c>
      <c r="AK17" s="37"/>
      <c r="AL17" s="36"/>
      <c r="AM17" s="10"/>
      <c r="AN17" s="25"/>
    </row>
    <row r="18" spans="1:40" ht="9.6" customHeight="1" x14ac:dyDescent="0.35">
      <c r="A18" s="11"/>
      <c r="B18" s="23"/>
      <c r="C18" s="12"/>
      <c r="D18" s="12"/>
      <c r="E18" s="12"/>
      <c r="F18" s="12"/>
      <c r="G18" s="13"/>
      <c r="H18" s="13"/>
      <c r="I18" s="13"/>
      <c r="J18" s="13"/>
      <c r="K18" s="13"/>
      <c r="L18" s="13"/>
      <c r="M18" s="13"/>
      <c r="N18" s="14"/>
      <c r="O18" s="14"/>
      <c r="P18" s="14"/>
      <c r="Q18" s="14"/>
      <c r="R18" s="13"/>
      <c r="S18" s="13"/>
      <c r="T18" s="13"/>
      <c r="U18" s="13"/>
      <c r="V18" s="14"/>
      <c r="W18" s="14"/>
      <c r="X18" s="14"/>
      <c r="Y18" s="14"/>
      <c r="Z18" s="13"/>
      <c r="AA18" s="13"/>
      <c r="AB18" s="13"/>
      <c r="AC18" s="13"/>
      <c r="AD18" s="14"/>
      <c r="AE18" s="14"/>
      <c r="AF18" s="14"/>
      <c r="AG18" s="14"/>
      <c r="AH18" s="13"/>
      <c r="AI18" s="13"/>
      <c r="AJ18" s="13"/>
      <c r="AK18" s="15"/>
      <c r="AL18" s="15"/>
    </row>
    <row r="19" spans="1:40" ht="21.6" customHeight="1" x14ac:dyDescent="0.3">
      <c r="A19" s="11"/>
      <c r="B19" s="113" t="s">
        <v>22</v>
      </c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49"/>
      <c r="Q19" s="49"/>
      <c r="R19" s="19"/>
      <c r="S19" s="19"/>
      <c r="T19" s="19"/>
      <c r="U19" s="19"/>
      <c r="V19" s="19"/>
      <c r="W19" s="19"/>
      <c r="X19" s="19"/>
      <c r="Y19" s="19"/>
      <c r="Z19" s="33"/>
      <c r="AA19" s="33"/>
      <c r="AB19" s="33"/>
      <c r="AC19" s="33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1:40" ht="18" x14ac:dyDescent="0.35"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23"/>
      <c r="T20" s="23"/>
      <c r="U20" s="23"/>
      <c r="W20" s="3"/>
      <c r="X20" s="3"/>
      <c r="Y20" s="3"/>
      <c r="Z20" s="3"/>
      <c r="AA20" s="3"/>
      <c r="AB20" s="3"/>
      <c r="AC20" s="3"/>
      <c r="AD20" s="6" t="s">
        <v>36</v>
      </c>
      <c r="AE20" s="6"/>
      <c r="AF20" s="6"/>
      <c r="AG20" s="6"/>
      <c r="AH20" s="3"/>
      <c r="AI20" s="3"/>
      <c r="AJ20" s="3"/>
    </row>
    <row r="21" spans="1:40" ht="17.399999999999999" x14ac:dyDescent="0.3">
      <c r="B21" s="5" t="s">
        <v>4</v>
      </c>
      <c r="C21" s="5"/>
      <c r="D21" s="111"/>
      <c r="E21" s="111"/>
      <c r="F21" s="111"/>
      <c r="G21" s="111"/>
      <c r="H21" s="21"/>
      <c r="I21" s="21"/>
      <c r="J21" s="21"/>
      <c r="K21" s="21"/>
      <c r="L21" s="21"/>
      <c r="M21" s="21"/>
      <c r="N21" s="5"/>
      <c r="O21" s="2"/>
      <c r="P21" s="2"/>
      <c r="Q21" s="2"/>
      <c r="R21" s="2"/>
      <c r="S21" s="2"/>
      <c r="T21" s="2"/>
      <c r="U21" s="2"/>
      <c r="W21" s="5"/>
      <c r="X21" s="5"/>
      <c r="Y21" s="5"/>
      <c r="Z21" s="5"/>
      <c r="AA21" s="5"/>
      <c r="AB21" s="5"/>
      <c r="AC21" s="5"/>
      <c r="AD21" s="5" t="s">
        <v>6</v>
      </c>
      <c r="AE21" s="5"/>
      <c r="AF21" s="5"/>
      <c r="AG21" s="5"/>
      <c r="AH21" s="5"/>
      <c r="AI21" s="5"/>
      <c r="AJ21" s="5"/>
    </row>
    <row r="22" spans="1:40" ht="17.399999999999999" x14ac:dyDescent="0.3">
      <c r="B22" s="2"/>
      <c r="C22" s="2"/>
      <c r="D22" s="9"/>
      <c r="E22" s="9"/>
      <c r="F22" s="9"/>
      <c r="G22" s="21"/>
      <c r="H22" s="21"/>
      <c r="I22" s="21"/>
      <c r="J22" s="21"/>
      <c r="K22" s="21"/>
      <c r="L22" s="21"/>
      <c r="M22" s="21"/>
      <c r="N22" s="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5"/>
      <c r="AA22" s="5"/>
      <c r="AB22" s="5"/>
      <c r="AC22" s="5"/>
      <c r="AD22" s="5" t="s">
        <v>7</v>
      </c>
      <c r="AE22" s="5"/>
      <c r="AF22" s="5"/>
      <c r="AG22" s="5"/>
      <c r="AH22" s="5"/>
      <c r="AI22" s="5"/>
      <c r="AJ22" s="5"/>
    </row>
    <row r="23" spans="1:40" ht="17.399999999999999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1"/>
      <c r="O23" s="2"/>
      <c r="P23" s="2"/>
      <c r="Q23" s="2"/>
      <c r="R23" s="2"/>
      <c r="S23" s="2"/>
      <c r="T23" s="2"/>
      <c r="U23" s="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40" ht="17.399999999999999" x14ac:dyDescent="0.3">
      <c r="B24" s="5"/>
      <c r="AD24" s="5"/>
    </row>
    <row r="25" spans="1:40" ht="17.399999999999999" x14ac:dyDescent="0.3">
      <c r="B25" s="5"/>
      <c r="AD25" s="5"/>
    </row>
    <row r="26" spans="1:40" ht="17.399999999999999" x14ac:dyDescent="0.3">
      <c r="B26" s="5" t="s">
        <v>5</v>
      </c>
      <c r="N26" s="4"/>
      <c r="AD26" s="5"/>
    </row>
  </sheetData>
  <mergeCells count="19">
    <mergeCell ref="A6:AK6"/>
    <mergeCell ref="C8:G8"/>
    <mergeCell ref="A8:A9"/>
    <mergeCell ref="B8:B9"/>
    <mergeCell ref="H8:L8"/>
    <mergeCell ref="N8:T8"/>
    <mergeCell ref="V8:AB8"/>
    <mergeCell ref="AD8:AJ8"/>
    <mergeCell ref="A5:AK5"/>
    <mergeCell ref="A1:C1"/>
    <mergeCell ref="R1:AK1"/>
    <mergeCell ref="A2:C2"/>
    <mergeCell ref="R2:AK2"/>
    <mergeCell ref="A3:C3"/>
    <mergeCell ref="B20:R20"/>
    <mergeCell ref="D21:G21"/>
    <mergeCell ref="A17:B17"/>
    <mergeCell ref="B19:O19"/>
    <mergeCell ref="AK8:AK9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"/>
  <sheetViews>
    <sheetView topLeftCell="A7" workbookViewId="0">
      <selection activeCell="D17" sqref="D17"/>
    </sheetView>
  </sheetViews>
  <sheetFormatPr defaultRowHeight="14.4" outlineLevelRow="1" outlineLevelCol="1" x14ac:dyDescent="0.3"/>
  <cols>
    <col min="1" max="1" width="5.88671875" customWidth="1"/>
    <col min="2" max="2" width="19.33203125" customWidth="1"/>
    <col min="3" max="4" width="13.5546875" customWidth="1" outlineLevel="1"/>
    <col min="5" max="5" width="10.88671875" customWidth="1" outlineLevel="1"/>
    <col min="6" max="8" width="10.88671875" hidden="1" customWidth="1" outlineLevel="1"/>
    <col min="9" max="9" width="10.33203125" hidden="1" customWidth="1"/>
    <col min="10" max="10" width="9" hidden="1" customWidth="1"/>
    <col min="11" max="11" width="9" customWidth="1"/>
    <col min="12" max="12" width="12.109375" customWidth="1" outlineLevel="1"/>
    <col min="13" max="13" width="10.33203125" hidden="1" customWidth="1"/>
    <col min="14" max="14" width="10.33203125" customWidth="1"/>
    <col min="15" max="15" width="8.88671875" customWidth="1"/>
    <col min="16" max="16" width="9.21875" customWidth="1"/>
    <col min="17" max="17" width="11.109375" customWidth="1" outlineLevel="1"/>
    <col min="18" max="18" width="8.6640625" hidden="1" customWidth="1"/>
    <col min="19" max="20" width="8.6640625" customWidth="1"/>
    <col min="21" max="21" width="8" customWidth="1"/>
    <col min="22" max="22" width="11.5546875" customWidth="1" outlineLevel="1"/>
    <col min="23" max="23" width="8.6640625" hidden="1" customWidth="1"/>
    <col min="24" max="25" width="8.6640625" customWidth="1"/>
    <col min="26" max="26" width="6.88671875" customWidth="1"/>
    <col min="27" max="27" width="9.44140625" customWidth="1"/>
  </cols>
  <sheetData>
    <row r="1" spans="1:29" ht="17.25" customHeight="1" x14ac:dyDescent="0.3">
      <c r="A1" s="118" t="s">
        <v>41</v>
      </c>
      <c r="B1" s="118"/>
      <c r="C1" s="118"/>
      <c r="D1" s="118"/>
      <c r="E1" s="20"/>
      <c r="F1" s="20"/>
      <c r="G1" s="20"/>
      <c r="H1" s="20"/>
      <c r="I1" s="8"/>
      <c r="J1" s="8"/>
      <c r="K1" s="8"/>
      <c r="L1" s="8"/>
      <c r="M1" s="119" t="s">
        <v>2</v>
      </c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7"/>
      <c r="AA1" s="20"/>
    </row>
    <row r="2" spans="1:29" ht="16.8" customHeight="1" x14ac:dyDescent="0.3">
      <c r="A2" s="119" t="s">
        <v>42</v>
      </c>
      <c r="B2" s="119"/>
      <c r="C2" s="119"/>
      <c r="D2" s="119"/>
      <c r="E2" s="20"/>
      <c r="F2" s="20"/>
      <c r="G2" s="20"/>
      <c r="H2" s="20"/>
      <c r="I2" s="8"/>
      <c r="J2" s="8"/>
      <c r="K2" s="8"/>
      <c r="L2" s="8"/>
      <c r="M2" s="120" t="s">
        <v>3</v>
      </c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17"/>
      <c r="AA2" s="20"/>
    </row>
    <row r="3" spans="1:29" ht="15.75" customHeight="1" x14ac:dyDescent="0.3">
      <c r="A3" s="119"/>
      <c r="B3" s="117"/>
      <c r="C3" s="117"/>
      <c r="D3" s="20"/>
      <c r="E3" s="20"/>
      <c r="F3" s="20"/>
      <c r="G3" s="20"/>
      <c r="H3" s="20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  <c r="AA3" s="1"/>
    </row>
    <row r="4" spans="1:29" ht="12" customHeight="1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0"/>
      <c r="W4" s="20"/>
      <c r="X4" s="20"/>
      <c r="Y4" s="20"/>
      <c r="Z4" s="20"/>
      <c r="AA4" s="20"/>
    </row>
    <row r="5" spans="1:29" ht="19.5" customHeight="1" x14ac:dyDescent="0.3">
      <c r="A5" s="116" t="s">
        <v>43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7"/>
      <c r="W5" s="117"/>
      <c r="X5" s="117"/>
      <c r="Y5" s="117"/>
      <c r="Z5" s="117"/>
      <c r="AA5" s="20"/>
    </row>
    <row r="6" spans="1:29" ht="18" customHeight="1" x14ac:dyDescent="0.35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7"/>
      <c r="W6" s="137"/>
      <c r="X6" s="137"/>
      <c r="Y6" s="137"/>
      <c r="Z6" s="137"/>
      <c r="AA6" s="24"/>
    </row>
    <row r="7" spans="1:29" ht="17.25" customHeigh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7" t="s">
        <v>16</v>
      </c>
      <c r="AA7" s="7"/>
    </row>
    <row r="8" spans="1:29" ht="31.2" customHeight="1" x14ac:dyDescent="0.3">
      <c r="A8" s="125" t="s">
        <v>0</v>
      </c>
      <c r="B8" s="125" t="s">
        <v>12</v>
      </c>
      <c r="C8" s="128" t="s">
        <v>31</v>
      </c>
      <c r="D8" s="128"/>
      <c r="E8" s="128"/>
      <c r="F8" s="51"/>
      <c r="G8" s="133" t="s">
        <v>32</v>
      </c>
      <c r="H8" s="134"/>
      <c r="I8" s="134"/>
      <c r="J8" s="135"/>
      <c r="K8" s="123" t="s">
        <v>10</v>
      </c>
      <c r="L8" s="124"/>
      <c r="M8" s="124"/>
      <c r="N8" s="124"/>
      <c r="O8" s="129"/>
      <c r="P8" s="123" t="s">
        <v>9</v>
      </c>
      <c r="Q8" s="124"/>
      <c r="R8" s="124"/>
      <c r="S8" s="124"/>
      <c r="T8" s="129"/>
      <c r="U8" s="123" t="s">
        <v>11</v>
      </c>
      <c r="V8" s="124"/>
      <c r="W8" s="124"/>
      <c r="X8" s="124"/>
      <c r="Y8" s="129"/>
      <c r="Z8" s="114" t="s">
        <v>8</v>
      </c>
      <c r="AA8" s="34"/>
    </row>
    <row r="9" spans="1:29" ht="70.2" customHeight="1" x14ac:dyDescent="0.3">
      <c r="A9" s="126"/>
      <c r="B9" s="126"/>
      <c r="C9" s="42" t="s">
        <v>27</v>
      </c>
      <c r="D9" s="41" t="s">
        <v>44</v>
      </c>
      <c r="E9" s="43" t="s">
        <v>17</v>
      </c>
      <c r="F9" s="43"/>
      <c r="G9" s="41" t="s">
        <v>33</v>
      </c>
      <c r="H9" s="41" t="s">
        <v>44</v>
      </c>
      <c r="I9" s="41" t="s">
        <v>34</v>
      </c>
      <c r="J9" s="43" t="s">
        <v>17</v>
      </c>
      <c r="K9" s="41" t="s">
        <v>33</v>
      </c>
      <c r="L9" s="41" t="s">
        <v>44</v>
      </c>
      <c r="M9" s="41" t="s">
        <v>30</v>
      </c>
      <c r="N9" s="41" t="s">
        <v>34</v>
      </c>
      <c r="O9" s="43" t="s">
        <v>17</v>
      </c>
      <c r="P9" s="41" t="s">
        <v>33</v>
      </c>
      <c r="Q9" s="41" t="s">
        <v>44</v>
      </c>
      <c r="R9" s="41" t="s">
        <v>30</v>
      </c>
      <c r="S9" s="41" t="s">
        <v>34</v>
      </c>
      <c r="T9" s="43" t="s">
        <v>17</v>
      </c>
      <c r="U9" s="41" t="s">
        <v>33</v>
      </c>
      <c r="V9" s="41" t="s">
        <v>44</v>
      </c>
      <c r="W9" s="41" t="s">
        <v>30</v>
      </c>
      <c r="X9" s="41" t="s">
        <v>34</v>
      </c>
      <c r="Y9" s="43" t="s">
        <v>17</v>
      </c>
      <c r="Z9" s="115"/>
      <c r="AA9" s="34"/>
      <c r="AB9" s="34"/>
    </row>
    <row r="10" spans="1:29" ht="18" customHeight="1" outlineLevel="1" x14ac:dyDescent="0.3">
      <c r="A10" s="26">
        <v>1</v>
      </c>
      <c r="B10" s="27" t="s">
        <v>23</v>
      </c>
      <c r="C10" s="44">
        <v>39212</v>
      </c>
      <c r="D10" s="39">
        <v>39212</v>
      </c>
      <c r="E10" s="29">
        <f t="shared" ref="E10:E17" si="0">D10/C10*100</f>
        <v>100</v>
      </c>
      <c r="F10" s="29"/>
      <c r="G10" s="29"/>
      <c r="H10" s="29"/>
      <c r="I10" s="29"/>
      <c r="J10" s="29"/>
      <c r="K10" s="59"/>
      <c r="L10" s="30">
        <v>1585</v>
      </c>
      <c r="M10" s="31" t="e">
        <f>L10-#REF!</f>
        <v>#REF!</v>
      </c>
      <c r="N10" s="31">
        <f>K10-L10</f>
        <v>-1585</v>
      </c>
      <c r="O10" s="61" t="e">
        <f>L10/K10*100</f>
        <v>#DIV/0!</v>
      </c>
      <c r="P10" s="31"/>
      <c r="Q10" s="30">
        <v>1397</v>
      </c>
      <c r="R10" s="53" t="e">
        <f>Q10-#REF!</f>
        <v>#REF!</v>
      </c>
      <c r="S10" s="53"/>
      <c r="T10" s="31"/>
      <c r="U10" s="31"/>
      <c r="V10" s="31">
        <v>1612</v>
      </c>
      <c r="W10" s="53" t="e">
        <f>V10-#REF!</f>
        <v>#REF!</v>
      </c>
      <c r="X10" s="53">
        <f>U10-V10</f>
        <v>-1612</v>
      </c>
      <c r="Y10" s="61" t="e">
        <f t="shared" ref="Y10:Y16" si="1">V10/U10*100</f>
        <v>#DIV/0!</v>
      </c>
      <c r="Z10" s="28"/>
      <c r="AA10" s="35"/>
      <c r="AB10" s="10"/>
      <c r="AC10" s="10"/>
    </row>
    <row r="11" spans="1:29" ht="18" customHeight="1" outlineLevel="1" x14ac:dyDescent="0.3">
      <c r="A11" s="26">
        <v>2</v>
      </c>
      <c r="B11" s="27" t="s">
        <v>14</v>
      </c>
      <c r="C11" s="44">
        <v>29794</v>
      </c>
      <c r="D11" s="39">
        <v>29794</v>
      </c>
      <c r="E11" s="29">
        <f t="shared" si="0"/>
        <v>100</v>
      </c>
      <c r="F11" s="29"/>
      <c r="G11" s="29"/>
      <c r="H11" s="29"/>
      <c r="I11" s="29"/>
      <c r="J11" s="29"/>
      <c r="K11" s="59"/>
      <c r="L11" s="30">
        <v>511</v>
      </c>
      <c r="M11" s="31" t="e">
        <f>L11-#REF!</f>
        <v>#REF!</v>
      </c>
      <c r="N11" s="31">
        <f t="shared" ref="N11:N16" si="2">K11-L11</f>
        <v>-511</v>
      </c>
      <c r="O11" s="61" t="e">
        <f t="shared" ref="O11:O16" si="3">L11/K11*100</f>
        <v>#DIV/0!</v>
      </c>
      <c r="P11" s="31"/>
      <c r="Q11" s="30">
        <v>379</v>
      </c>
      <c r="R11" s="53" t="e">
        <f>Q11-#REF!</f>
        <v>#REF!</v>
      </c>
      <c r="S11" s="53"/>
      <c r="T11" s="31"/>
      <c r="U11" s="31"/>
      <c r="V11" s="31">
        <v>567</v>
      </c>
      <c r="W11" s="53" t="e">
        <f>V11-#REF!</f>
        <v>#REF!</v>
      </c>
      <c r="X11" s="53">
        <f t="shared" ref="X11:X16" si="4">U11-V11</f>
        <v>-567</v>
      </c>
      <c r="Y11" s="61" t="e">
        <f t="shared" si="1"/>
        <v>#DIV/0!</v>
      </c>
      <c r="Z11" s="28"/>
      <c r="AA11" s="35"/>
      <c r="AB11" s="10"/>
      <c r="AC11" s="10"/>
    </row>
    <row r="12" spans="1:29" ht="18" customHeight="1" outlineLevel="1" x14ac:dyDescent="0.3">
      <c r="A12" s="26">
        <v>3</v>
      </c>
      <c r="B12" s="27" t="s">
        <v>15</v>
      </c>
      <c r="C12" s="44">
        <v>25653</v>
      </c>
      <c r="D12" s="39">
        <v>25653</v>
      </c>
      <c r="E12" s="29">
        <f t="shared" si="0"/>
        <v>100</v>
      </c>
      <c r="F12" s="29"/>
      <c r="G12" s="29"/>
      <c r="H12" s="29"/>
      <c r="I12" s="29"/>
      <c r="J12" s="29"/>
      <c r="K12" s="59"/>
      <c r="L12" s="30">
        <v>544</v>
      </c>
      <c r="M12" s="31" t="e">
        <f>L12-#REF!</f>
        <v>#REF!</v>
      </c>
      <c r="N12" s="31">
        <f t="shared" si="2"/>
        <v>-544</v>
      </c>
      <c r="O12" s="61" t="e">
        <f t="shared" si="3"/>
        <v>#DIV/0!</v>
      </c>
      <c r="P12" s="31"/>
      <c r="Q12" s="30">
        <v>417</v>
      </c>
      <c r="R12" s="53" t="e">
        <f>Q12-#REF!</f>
        <v>#REF!</v>
      </c>
      <c r="S12" s="53"/>
      <c r="T12" s="31"/>
      <c r="U12" s="31"/>
      <c r="V12" s="31">
        <v>744</v>
      </c>
      <c r="W12" s="53" t="e">
        <f>V12-#REF!</f>
        <v>#REF!</v>
      </c>
      <c r="X12" s="53">
        <f t="shared" si="4"/>
        <v>-744</v>
      </c>
      <c r="Y12" s="61" t="e">
        <f t="shared" si="1"/>
        <v>#DIV/0!</v>
      </c>
      <c r="Z12" s="28"/>
      <c r="AA12" s="35"/>
      <c r="AB12" s="10"/>
      <c r="AC12" s="10"/>
    </row>
    <row r="13" spans="1:29" ht="18" customHeight="1" outlineLevel="1" x14ac:dyDescent="0.3">
      <c r="A13" s="26">
        <v>4</v>
      </c>
      <c r="B13" s="27" t="s">
        <v>13</v>
      </c>
      <c r="C13" s="44">
        <v>51522</v>
      </c>
      <c r="D13" s="39">
        <v>51522</v>
      </c>
      <c r="E13" s="29">
        <f t="shared" si="0"/>
        <v>100</v>
      </c>
      <c r="F13" s="29"/>
      <c r="G13" s="29"/>
      <c r="H13" s="29"/>
      <c r="I13" s="29"/>
      <c r="J13" s="29"/>
      <c r="K13" s="59"/>
      <c r="L13" s="30">
        <v>1139</v>
      </c>
      <c r="M13" s="31" t="e">
        <f>L13-#REF!</f>
        <v>#REF!</v>
      </c>
      <c r="N13" s="31">
        <f t="shared" si="2"/>
        <v>-1139</v>
      </c>
      <c r="O13" s="61" t="e">
        <f t="shared" si="3"/>
        <v>#DIV/0!</v>
      </c>
      <c r="P13" s="31"/>
      <c r="Q13" s="30">
        <v>956</v>
      </c>
      <c r="R13" s="53" t="e">
        <f>Q13-#REF!</f>
        <v>#REF!</v>
      </c>
      <c r="S13" s="53"/>
      <c r="T13" s="31"/>
      <c r="U13" s="31"/>
      <c r="V13" s="31">
        <v>1502</v>
      </c>
      <c r="W13" s="53" t="e">
        <f>V13-#REF!</f>
        <v>#REF!</v>
      </c>
      <c r="X13" s="53">
        <f t="shared" si="4"/>
        <v>-1502</v>
      </c>
      <c r="Y13" s="61" t="e">
        <f t="shared" si="1"/>
        <v>#DIV/0!</v>
      </c>
      <c r="Z13" s="28"/>
      <c r="AA13" s="35"/>
      <c r="AB13" s="10"/>
      <c r="AC13" s="10"/>
    </row>
    <row r="14" spans="1:29" ht="18" customHeight="1" outlineLevel="1" x14ac:dyDescent="0.3">
      <c r="A14" s="26">
        <v>5</v>
      </c>
      <c r="B14" s="38" t="s">
        <v>24</v>
      </c>
      <c r="C14" s="44">
        <v>27655</v>
      </c>
      <c r="D14" s="40">
        <v>27655</v>
      </c>
      <c r="E14" s="29">
        <f t="shared" si="0"/>
        <v>100</v>
      </c>
      <c r="F14" s="29"/>
      <c r="G14" s="29"/>
      <c r="H14" s="29"/>
      <c r="I14" s="29"/>
      <c r="J14" s="29"/>
      <c r="K14" s="59"/>
      <c r="L14" s="30">
        <v>996</v>
      </c>
      <c r="M14" s="31" t="e">
        <f>L14-#REF!</f>
        <v>#REF!</v>
      </c>
      <c r="N14" s="31">
        <f t="shared" si="2"/>
        <v>-996</v>
      </c>
      <c r="O14" s="61" t="e">
        <f t="shared" si="3"/>
        <v>#DIV/0!</v>
      </c>
      <c r="P14" s="31"/>
      <c r="Q14" s="54">
        <v>838</v>
      </c>
      <c r="R14" s="53" t="e">
        <f>Q14-#REF!</f>
        <v>#REF!</v>
      </c>
      <c r="S14" s="53"/>
      <c r="T14" s="31"/>
      <c r="U14" s="31"/>
      <c r="V14" s="54">
        <v>979</v>
      </c>
      <c r="W14" s="53" t="e">
        <f>V14-#REF!</f>
        <v>#REF!</v>
      </c>
      <c r="X14" s="53">
        <f t="shared" si="4"/>
        <v>-979</v>
      </c>
      <c r="Y14" s="61" t="e">
        <f t="shared" si="1"/>
        <v>#DIV/0!</v>
      </c>
      <c r="Z14" s="28"/>
      <c r="AA14" s="35"/>
      <c r="AB14" s="10"/>
      <c r="AC14" s="10"/>
    </row>
    <row r="15" spans="1:29" ht="18" customHeight="1" outlineLevel="1" x14ac:dyDescent="0.3">
      <c r="A15" s="26">
        <v>6</v>
      </c>
      <c r="B15" s="38" t="s">
        <v>25</v>
      </c>
      <c r="C15" s="44">
        <v>28864</v>
      </c>
      <c r="D15" s="40">
        <v>28864</v>
      </c>
      <c r="E15" s="29">
        <f t="shared" si="0"/>
        <v>100</v>
      </c>
      <c r="F15" s="29"/>
      <c r="G15" s="29"/>
      <c r="H15" s="29"/>
      <c r="I15" s="29"/>
      <c r="J15" s="29"/>
      <c r="K15" s="59"/>
      <c r="L15" s="30">
        <v>549</v>
      </c>
      <c r="M15" s="31" t="e">
        <f>L15-#REF!</f>
        <v>#REF!</v>
      </c>
      <c r="N15" s="31">
        <f t="shared" si="2"/>
        <v>-549</v>
      </c>
      <c r="O15" s="61" t="e">
        <f t="shared" si="3"/>
        <v>#DIV/0!</v>
      </c>
      <c r="P15" s="31"/>
      <c r="Q15" s="54">
        <v>398</v>
      </c>
      <c r="R15" s="53" t="e">
        <f>Q15-#REF!</f>
        <v>#REF!</v>
      </c>
      <c r="S15" s="53"/>
      <c r="T15" s="31"/>
      <c r="U15" s="31"/>
      <c r="V15" s="54">
        <v>906</v>
      </c>
      <c r="W15" s="53" t="e">
        <f>V15-#REF!</f>
        <v>#REF!</v>
      </c>
      <c r="X15" s="53">
        <f t="shared" si="4"/>
        <v>-906</v>
      </c>
      <c r="Y15" s="61" t="e">
        <f t="shared" si="1"/>
        <v>#DIV/0!</v>
      </c>
      <c r="Z15" s="28"/>
      <c r="AA15" s="35"/>
      <c r="AB15" s="10"/>
      <c r="AC15" s="10"/>
    </row>
    <row r="16" spans="1:29" ht="18" customHeight="1" outlineLevel="1" x14ac:dyDescent="0.3">
      <c r="A16" s="26">
        <v>7</v>
      </c>
      <c r="B16" s="38" t="s">
        <v>26</v>
      </c>
      <c r="C16" s="44">
        <v>24621</v>
      </c>
      <c r="D16" s="40">
        <v>23632</v>
      </c>
      <c r="E16" s="29">
        <f t="shared" si="0"/>
        <v>95.98310385443321</v>
      </c>
      <c r="F16" s="29"/>
      <c r="G16" s="29"/>
      <c r="H16" s="29"/>
      <c r="I16" s="29"/>
      <c r="J16" s="29"/>
      <c r="K16" s="59"/>
      <c r="L16" s="30">
        <v>542</v>
      </c>
      <c r="M16" s="31" t="e">
        <f>L16-#REF!</f>
        <v>#REF!</v>
      </c>
      <c r="N16" s="31">
        <f t="shared" si="2"/>
        <v>-542</v>
      </c>
      <c r="O16" s="61" t="e">
        <f t="shared" si="3"/>
        <v>#DIV/0!</v>
      </c>
      <c r="P16" s="31"/>
      <c r="Q16" s="54">
        <v>414</v>
      </c>
      <c r="R16" s="53" t="e">
        <f>Q16-#REF!</f>
        <v>#REF!</v>
      </c>
      <c r="S16" s="53"/>
      <c r="T16" s="31"/>
      <c r="U16" s="31"/>
      <c r="V16" s="54">
        <v>844</v>
      </c>
      <c r="W16" s="53" t="e">
        <f>V16-#REF!</f>
        <v>#REF!</v>
      </c>
      <c r="X16" s="53">
        <f t="shared" si="4"/>
        <v>-844</v>
      </c>
      <c r="Y16" s="61" t="e">
        <f t="shared" si="1"/>
        <v>#DIV/0!</v>
      </c>
      <c r="Z16" s="28"/>
      <c r="AA16" s="35"/>
      <c r="AB16" s="10"/>
      <c r="AC16" s="10"/>
    </row>
    <row r="17" spans="1:29" s="16" customFormat="1" ht="18" customHeight="1" x14ac:dyDescent="0.3">
      <c r="A17" s="112" t="s">
        <v>1</v>
      </c>
      <c r="B17" s="112"/>
      <c r="C17" s="18">
        <f>SUM(C10:C16)</f>
        <v>227321</v>
      </c>
      <c r="D17" s="18">
        <f>SUM(D10:D16)</f>
        <v>226332</v>
      </c>
      <c r="E17" s="32">
        <f t="shared" si="0"/>
        <v>99.564932408356469</v>
      </c>
      <c r="F17" s="32"/>
      <c r="G17" s="48">
        <v>207924</v>
      </c>
      <c r="H17" s="48" t="e">
        <f>G17-#REF!</f>
        <v>#REF!</v>
      </c>
      <c r="I17" s="48"/>
      <c r="J17" s="48"/>
      <c r="K17" s="60">
        <f>SUM(K10:K16)</f>
        <v>0</v>
      </c>
      <c r="L17" s="50">
        <f>SUM(L10:L16)</f>
        <v>5866</v>
      </c>
      <c r="M17" s="55" t="e">
        <f>L17-#REF!</f>
        <v>#REF!</v>
      </c>
      <c r="N17" s="55">
        <f>SUM(N10:N16)</f>
        <v>-5866</v>
      </c>
      <c r="O17" s="57" t="e">
        <f>L17/K17*100</f>
        <v>#DIV/0!</v>
      </c>
      <c r="P17" s="18">
        <f>SUM(P10:P16)</f>
        <v>0</v>
      </c>
      <c r="Q17" s="18">
        <f>SUM(Q10:Q16)</f>
        <v>4799</v>
      </c>
      <c r="R17" s="18" t="e">
        <f t="shared" ref="R17:S17" si="5">SUM(R10:R16)</f>
        <v>#REF!</v>
      </c>
      <c r="S17" s="18">
        <f t="shared" si="5"/>
        <v>0</v>
      </c>
      <c r="T17" s="57" t="e">
        <f>Q17/P17*100</f>
        <v>#DIV/0!</v>
      </c>
      <c r="U17" s="55">
        <f>SUM(U10:U16)</f>
        <v>0</v>
      </c>
      <c r="V17" s="18">
        <f>SUM(V10:V16)</f>
        <v>7154</v>
      </c>
      <c r="W17" s="56" t="e">
        <f>V17-#REF!</f>
        <v>#REF!</v>
      </c>
      <c r="X17" s="56">
        <f>SUM(X10:X16)</f>
        <v>-7154</v>
      </c>
      <c r="Y17" s="57" t="e">
        <f>V17/U17*100</f>
        <v>#DIV/0!</v>
      </c>
      <c r="Z17" s="37"/>
      <c r="AA17" s="36"/>
      <c r="AB17" s="10"/>
      <c r="AC17" s="25"/>
    </row>
    <row r="18" spans="1:29" ht="9.6" customHeight="1" x14ac:dyDescent="0.35">
      <c r="A18" s="11"/>
      <c r="B18" s="23"/>
      <c r="C18" s="12"/>
      <c r="D18" s="12"/>
      <c r="E18" s="12"/>
      <c r="F18" s="12"/>
      <c r="G18" s="12"/>
      <c r="H18" s="12"/>
      <c r="I18" s="13"/>
      <c r="J18" s="13"/>
      <c r="K18" s="13"/>
      <c r="L18" s="14"/>
      <c r="M18" s="13"/>
      <c r="N18" s="13"/>
      <c r="O18" s="13"/>
      <c r="P18" s="13"/>
      <c r="Q18" s="14"/>
      <c r="R18" s="13"/>
      <c r="S18" s="13"/>
      <c r="T18" s="13"/>
      <c r="U18" s="13"/>
      <c r="V18" s="14"/>
      <c r="W18" s="13"/>
      <c r="X18" s="13"/>
      <c r="Y18" s="13"/>
      <c r="Z18" s="15"/>
      <c r="AA18" s="15"/>
    </row>
    <row r="19" spans="1:29" ht="21.6" customHeight="1" x14ac:dyDescent="0.3">
      <c r="A19" s="11"/>
      <c r="B19" s="113" t="s">
        <v>22</v>
      </c>
      <c r="C19" s="113"/>
      <c r="D19" s="113"/>
      <c r="E19" s="113"/>
      <c r="F19" s="113"/>
      <c r="G19" s="113"/>
      <c r="H19" s="113"/>
      <c r="I19" s="113"/>
      <c r="J19" s="113"/>
      <c r="K19" s="113"/>
      <c r="L19" s="49"/>
      <c r="M19" s="19"/>
      <c r="N19" s="19"/>
      <c r="O19" s="19"/>
      <c r="P19" s="19"/>
      <c r="Q19" s="19"/>
      <c r="R19" s="33"/>
      <c r="S19" s="33"/>
      <c r="T19" s="33"/>
      <c r="U19" s="33"/>
      <c r="V19" s="19"/>
      <c r="W19" s="19"/>
      <c r="X19" s="19"/>
      <c r="Y19" s="19"/>
      <c r="Z19" s="19"/>
      <c r="AA19" s="19"/>
    </row>
    <row r="20" spans="1:29" ht="18" x14ac:dyDescent="0.35"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23"/>
      <c r="O20" s="23"/>
      <c r="P20" s="23"/>
      <c r="Q20" s="3"/>
      <c r="R20" s="3"/>
      <c r="S20" s="3"/>
      <c r="T20" s="3"/>
      <c r="U20" s="3"/>
      <c r="V20" s="6"/>
      <c r="W20" s="3"/>
      <c r="X20" s="3"/>
      <c r="Y20" s="3"/>
    </row>
    <row r="21" spans="1:29" ht="17.399999999999999" x14ac:dyDescent="0.3">
      <c r="B21" s="5" t="s">
        <v>4</v>
      </c>
      <c r="C21" s="5"/>
      <c r="D21" s="111"/>
      <c r="E21" s="111"/>
      <c r="F21" s="21"/>
      <c r="G21" s="21"/>
      <c r="H21" s="21"/>
      <c r="I21" s="21"/>
      <c r="J21" s="21"/>
      <c r="K21" s="21"/>
      <c r="L21" s="2"/>
      <c r="M21" s="2"/>
      <c r="N21" s="2"/>
      <c r="O21" s="2"/>
      <c r="P21" s="2"/>
      <c r="Q21" s="5"/>
      <c r="R21" s="5"/>
      <c r="S21" s="5"/>
      <c r="T21" s="5"/>
      <c r="U21" s="5"/>
      <c r="V21" s="5"/>
      <c r="W21" s="5"/>
      <c r="X21" s="5"/>
      <c r="Y21" s="5"/>
    </row>
    <row r="22" spans="1:29" ht="17.399999999999999" x14ac:dyDescent="0.3">
      <c r="B22" s="2"/>
      <c r="C22" s="2"/>
      <c r="D22" s="9"/>
      <c r="E22" s="9"/>
      <c r="F22" s="9"/>
      <c r="G22" s="9"/>
      <c r="H22" s="9"/>
      <c r="I22" s="21"/>
      <c r="J22" s="21"/>
      <c r="K22" s="21"/>
      <c r="L22" s="9"/>
      <c r="M22" s="9"/>
      <c r="N22" s="9"/>
      <c r="O22" s="9"/>
      <c r="P22" s="9"/>
      <c r="Q22" s="9"/>
      <c r="R22" s="5"/>
      <c r="S22" s="5"/>
      <c r="T22" s="5"/>
      <c r="U22" s="5"/>
      <c r="V22" s="5"/>
      <c r="W22" s="5"/>
      <c r="X22" s="5"/>
      <c r="Y22" s="5"/>
    </row>
    <row r="23" spans="1:29" ht="17.399999999999999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2"/>
      <c r="M23" s="2"/>
      <c r="N23" s="2"/>
      <c r="O23" s="2"/>
      <c r="P23" s="2"/>
      <c r="Q23" s="5"/>
      <c r="R23" s="5"/>
      <c r="S23" s="5"/>
      <c r="T23" s="5"/>
      <c r="U23" s="5"/>
      <c r="V23" s="5"/>
      <c r="W23" s="5"/>
      <c r="X23" s="5"/>
      <c r="Y23" s="5"/>
    </row>
    <row r="24" spans="1:29" ht="17.399999999999999" x14ac:dyDescent="0.3">
      <c r="B24" s="5"/>
    </row>
    <row r="25" spans="1:29" ht="17.399999999999999" x14ac:dyDescent="0.3">
      <c r="B25" s="5"/>
    </row>
    <row r="26" spans="1:29" ht="17.399999999999999" x14ac:dyDescent="0.3">
      <c r="B26" s="5" t="s">
        <v>5</v>
      </c>
    </row>
  </sheetData>
  <mergeCells count="19">
    <mergeCell ref="D21:E21"/>
    <mergeCell ref="G8:J8"/>
    <mergeCell ref="A6:Z6"/>
    <mergeCell ref="A8:A9"/>
    <mergeCell ref="B8:B9"/>
    <mergeCell ref="C8:E8"/>
    <mergeCell ref="Z8:Z9"/>
    <mergeCell ref="P8:T8"/>
    <mergeCell ref="U8:Y8"/>
    <mergeCell ref="K8:O8"/>
    <mergeCell ref="A17:B17"/>
    <mergeCell ref="B19:K19"/>
    <mergeCell ref="B20:M20"/>
    <mergeCell ref="M1:Z1"/>
    <mergeCell ref="M2:Z2"/>
    <mergeCell ref="A3:C3"/>
    <mergeCell ref="A5:Z5"/>
    <mergeCell ref="A1:D1"/>
    <mergeCell ref="A2:D2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6"/>
  <sheetViews>
    <sheetView topLeftCell="D4" workbookViewId="0">
      <selection activeCell="Z20" sqref="Z20"/>
    </sheetView>
  </sheetViews>
  <sheetFormatPr defaultRowHeight="14.4" outlineLevelRow="1" outlineLevelCol="1" x14ac:dyDescent="0.3"/>
  <cols>
    <col min="1" max="1" width="5.88671875" customWidth="1"/>
    <col min="2" max="2" width="19.33203125" customWidth="1"/>
    <col min="3" max="4" width="13.5546875" customWidth="1" outlineLevel="1"/>
    <col min="5" max="5" width="10.88671875" customWidth="1" outlineLevel="1"/>
    <col min="6" max="8" width="10.88671875" hidden="1" customWidth="1" outlineLevel="1"/>
    <col min="9" max="9" width="10.33203125" hidden="1" customWidth="1"/>
    <col min="10" max="10" width="9" hidden="1" customWidth="1"/>
    <col min="11" max="13" width="9" customWidth="1"/>
    <col min="14" max="14" width="12.109375" customWidth="1" outlineLevel="1"/>
    <col min="15" max="15" width="10.33203125" hidden="1" customWidth="1"/>
    <col min="16" max="17" width="10.33203125" customWidth="1"/>
    <col min="18" max="18" width="10.33203125" hidden="1" customWidth="1"/>
    <col min="19" max="19" width="8.88671875" hidden="1" customWidth="1"/>
    <col min="20" max="22" width="9.21875" customWidth="1"/>
    <col min="23" max="23" width="11.109375" customWidth="1" outlineLevel="1"/>
    <col min="24" max="24" width="8.6640625" hidden="1" customWidth="1"/>
    <col min="25" max="26" width="8.6640625" customWidth="1"/>
    <col min="27" max="28" width="8.6640625" hidden="1" customWidth="1"/>
    <col min="29" max="31" width="8" customWidth="1"/>
    <col min="32" max="32" width="11.5546875" customWidth="1" outlineLevel="1"/>
    <col min="33" max="33" width="8.6640625" hidden="1" customWidth="1"/>
    <col min="34" max="35" width="8.6640625" customWidth="1"/>
    <col min="36" max="37" width="8.6640625" hidden="1" customWidth="1"/>
    <col min="38" max="38" width="6.88671875" customWidth="1"/>
    <col min="39" max="39" width="9.44140625" customWidth="1"/>
  </cols>
  <sheetData>
    <row r="1" spans="1:43" ht="17.25" customHeight="1" x14ac:dyDescent="0.3">
      <c r="A1" s="118" t="s">
        <v>41</v>
      </c>
      <c r="B1" s="118"/>
      <c r="C1" s="118"/>
      <c r="D1" s="118"/>
      <c r="E1" s="20"/>
      <c r="F1" s="20"/>
      <c r="G1" s="20"/>
      <c r="H1" s="20"/>
      <c r="I1" s="8"/>
      <c r="J1" s="8"/>
      <c r="K1" s="8"/>
      <c r="L1" s="8"/>
      <c r="M1" s="8"/>
      <c r="N1" s="8"/>
      <c r="O1" s="119" t="s">
        <v>2</v>
      </c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7"/>
      <c r="AM1" s="20"/>
    </row>
    <row r="2" spans="1:43" ht="16.8" customHeight="1" x14ac:dyDescent="0.3">
      <c r="A2" s="119" t="s">
        <v>42</v>
      </c>
      <c r="B2" s="119"/>
      <c r="C2" s="119"/>
      <c r="D2" s="119"/>
      <c r="E2" s="20"/>
      <c r="F2" s="20"/>
      <c r="G2" s="20"/>
      <c r="H2" s="20"/>
      <c r="I2" s="8"/>
      <c r="J2" s="8"/>
      <c r="K2" s="8"/>
      <c r="L2" s="8"/>
      <c r="M2" s="8"/>
      <c r="N2" s="8"/>
      <c r="O2" s="120" t="s">
        <v>3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17"/>
      <c r="AM2" s="20"/>
    </row>
    <row r="3" spans="1:43" ht="15.75" customHeight="1" x14ac:dyDescent="0.3">
      <c r="A3" s="119"/>
      <c r="B3" s="117"/>
      <c r="C3" s="117"/>
      <c r="D3" s="20"/>
      <c r="E3" s="20"/>
      <c r="F3" s="20"/>
      <c r="G3" s="20"/>
      <c r="H3" s="20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"/>
      <c r="AG3" s="1"/>
      <c r="AH3" s="1"/>
      <c r="AI3" s="1"/>
      <c r="AJ3" s="1"/>
      <c r="AK3" s="1"/>
      <c r="AL3" s="1"/>
      <c r="AM3" s="1"/>
    </row>
    <row r="4" spans="1:43" ht="12" customHeight="1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0"/>
      <c r="AG4" s="20"/>
      <c r="AH4" s="20"/>
      <c r="AI4" s="20"/>
      <c r="AJ4" s="20"/>
      <c r="AK4" s="20"/>
      <c r="AL4" s="20"/>
      <c r="AM4" s="20"/>
    </row>
    <row r="5" spans="1:43" ht="19.5" customHeight="1" x14ac:dyDescent="0.3">
      <c r="A5" s="116" t="s">
        <v>43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7"/>
      <c r="AG5" s="117"/>
      <c r="AH5" s="117"/>
      <c r="AI5" s="117"/>
      <c r="AJ5" s="117"/>
      <c r="AK5" s="117"/>
      <c r="AL5" s="117"/>
      <c r="AM5" s="20"/>
    </row>
    <row r="6" spans="1:43" ht="18" customHeight="1" x14ac:dyDescent="0.35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7"/>
      <c r="AG6" s="137"/>
      <c r="AH6" s="137"/>
      <c r="AI6" s="137"/>
      <c r="AJ6" s="137"/>
      <c r="AK6" s="137"/>
      <c r="AL6" s="137"/>
      <c r="AM6" s="24"/>
    </row>
    <row r="7" spans="1:43" ht="17.25" customHeigh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7" t="s">
        <v>16</v>
      </c>
      <c r="AM7" s="7"/>
    </row>
    <row r="8" spans="1:43" ht="31.2" customHeight="1" x14ac:dyDescent="0.3">
      <c r="A8" s="125" t="s">
        <v>0</v>
      </c>
      <c r="B8" s="125" t="s">
        <v>12</v>
      </c>
      <c r="C8" s="128" t="s">
        <v>31</v>
      </c>
      <c r="D8" s="128"/>
      <c r="E8" s="128"/>
      <c r="F8" s="51"/>
      <c r="G8" s="133" t="s">
        <v>32</v>
      </c>
      <c r="H8" s="134"/>
      <c r="I8" s="134"/>
      <c r="J8" s="135"/>
      <c r="K8" s="123" t="s">
        <v>10</v>
      </c>
      <c r="L8" s="124"/>
      <c r="M8" s="124"/>
      <c r="N8" s="124"/>
      <c r="O8" s="124"/>
      <c r="P8" s="124"/>
      <c r="Q8" s="124"/>
      <c r="R8" s="124"/>
      <c r="S8" s="129"/>
      <c r="T8" s="123" t="s">
        <v>9</v>
      </c>
      <c r="U8" s="124"/>
      <c r="V8" s="124"/>
      <c r="W8" s="124"/>
      <c r="X8" s="124"/>
      <c r="Y8" s="124"/>
      <c r="Z8" s="124"/>
      <c r="AA8" s="124"/>
      <c r="AB8" s="129"/>
      <c r="AC8" s="123" t="s">
        <v>11</v>
      </c>
      <c r="AD8" s="124"/>
      <c r="AE8" s="124"/>
      <c r="AF8" s="124"/>
      <c r="AG8" s="124"/>
      <c r="AH8" s="124"/>
      <c r="AI8" s="124"/>
      <c r="AJ8" s="124"/>
      <c r="AK8" s="129"/>
      <c r="AL8" s="114" t="s">
        <v>8</v>
      </c>
      <c r="AM8" s="34"/>
    </row>
    <row r="9" spans="1:43" ht="70.2" customHeight="1" x14ac:dyDescent="0.3">
      <c r="A9" s="126"/>
      <c r="B9" s="126"/>
      <c r="C9" s="42" t="s">
        <v>27</v>
      </c>
      <c r="D9" s="41" t="s">
        <v>44</v>
      </c>
      <c r="E9" s="43" t="s">
        <v>17</v>
      </c>
      <c r="F9" s="43"/>
      <c r="G9" s="41" t="s">
        <v>33</v>
      </c>
      <c r="H9" s="41" t="s">
        <v>44</v>
      </c>
      <c r="I9" s="41" t="s">
        <v>34</v>
      </c>
      <c r="J9" s="43" t="s">
        <v>17</v>
      </c>
      <c r="K9" s="41" t="s">
        <v>33</v>
      </c>
      <c r="L9" s="41" t="s">
        <v>37</v>
      </c>
      <c r="M9" s="41" t="s">
        <v>45</v>
      </c>
      <c r="N9" s="41" t="s">
        <v>44</v>
      </c>
      <c r="O9" s="41" t="s">
        <v>30</v>
      </c>
      <c r="P9" s="41" t="s">
        <v>30</v>
      </c>
      <c r="Q9" s="41" t="s">
        <v>46</v>
      </c>
      <c r="R9" s="41" t="s">
        <v>34</v>
      </c>
      <c r="S9" s="43" t="s">
        <v>17</v>
      </c>
      <c r="T9" s="41" t="s">
        <v>33</v>
      </c>
      <c r="U9" s="41" t="s">
        <v>37</v>
      </c>
      <c r="V9" s="41" t="s">
        <v>45</v>
      </c>
      <c r="W9" s="41" t="s">
        <v>44</v>
      </c>
      <c r="X9" s="41" t="s">
        <v>30</v>
      </c>
      <c r="Y9" s="41" t="s">
        <v>30</v>
      </c>
      <c r="Z9" s="41" t="s">
        <v>46</v>
      </c>
      <c r="AA9" s="41" t="s">
        <v>34</v>
      </c>
      <c r="AB9" s="43" t="s">
        <v>17</v>
      </c>
      <c r="AC9" s="41" t="s">
        <v>33</v>
      </c>
      <c r="AD9" s="41" t="s">
        <v>37</v>
      </c>
      <c r="AE9" s="41" t="s">
        <v>45</v>
      </c>
      <c r="AF9" s="41" t="s">
        <v>44</v>
      </c>
      <c r="AG9" s="41" t="s">
        <v>30</v>
      </c>
      <c r="AH9" s="41" t="s">
        <v>30</v>
      </c>
      <c r="AI9" s="41" t="s">
        <v>46</v>
      </c>
      <c r="AJ9" s="41" t="s">
        <v>34</v>
      </c>
      <c r="AK9" s="43" t="s">
        <v>17</v>
      </c>
      <c r="AL9" s="115"/>
      <c r="AM9" s="34"/>
      <c r="AN9" s="34"/>
    </row>
    <row r="10" spans="1:43" ht="18" customHeight="1" outlineLevel="1" x14ac:dyDescent="0.3">
      <c r="A10" s="26">
        <v>1</v>
      </c>
      <c r="B10" s="27" t="s">
        <v>23</v>
      </c>
      <c r="C10" s="44">
        <v>39212</v>
      </c>
      <c r="D10" s="39">
        <v>39212</v>
      </c>
      <c r="E10" s="29">
        <f t="shared" ref="E10:E17" si="0">D10/C10*100</f>
        <v>100</v>
      </c>
      <c r="F10" s="29"/>
      <c r="G10" s="29"/>
      <c r="H10" s="29"/>
      <c r="I10" s="29"/>
      <c r="J10" s="29"/>
      <c r="K10" s="59"/>
      <c r="L10" s="59">
        <v>1652</v>
      </c>
      <c r="M10" s="30">
        <v>1591</v>
      </c>
      <c r="N10" s="30">
        <v>1585</v>
      </c>
      <c r="O10" s="31" t="e">
        <f>N10-#REF!</f>
        <v>#REF!</v>
      </c>
      <c r="P10" s="31">
        <f>N10-M10</f>
        <v>-6</v>
      </c>
      <c r="Q10" s="31">
        <f>N10-L10</f>
        <v>-67</v>
      </c>
      <c r="R10" s="31">
        <f>K10-N10</f>
        <v>-1585</v>
      </c>
      <c r="S10" s="61" t="e">
        <f>N10/K10*100</f>
        <v>#DIV/0!</v>
      </c>
      <c r="T10" s="31"/>
      <c r="U10" s="31">
        <v>1445</v>
      </c>
      <c r="V10" s="30">
        <v>1395</v>
      </c>
      <c r="W10" s="30">
        <v>1397</v>
      </c>
      <c r="X10" s="53" t="e">
        <f>W10-#REF!</f>
        <v>#REF!</v>
      </c>
      <c r="Y10" s="53">
        <f>W10-V10</f>
        <v>2</v>
      </c>
      <c r="Z10" s="53">
        <f>W10-U10</f>
        <v>-48</v>
      </c>
      <c r="AA10" s="53"/>
      <c r="AB10" s="31"/>
      <c r="AC10" s="31"/>
      <c r="AD10" s="31">
        <v>1670</v>
      </c>
      <c r="AE10" s="31">
        <v>1612</v>
      </c>
      <c r="AF10" s="31">
        <v>1637</v>
      </c>
      <c r="AG10" s="53" t="e">
        <f>AF10-#REF!</f>
        <v>#REF!</v>
      </c>
      <c r="AH10" s="53">
        <f>AF10-AE10</f>
        <v>25</v>
      </c>
      <c r="AI10" s="53">
        <f>AF10-AD10</f>
        <v>-33</v>
      </c>
      <c r="AJ10" s="53">
        <f>AC10-AF10</f>
        <v>-1637</v>
      </c>
      <c r="AK10" s="61" t="e">
        <f t="shared" ref="AK10:AK16" si="1">AF10/AC10*100</f>
        <v>#DIV/0!</v>
      </c>
      <c r="AL10" s="28"/>
      <c r="AM10" s="35"/>
      <c r="AN10" s="10"/>
      <c r="AO10" s="10"/>
      <c r="AQ10" s="10"/>
    </row>
    <row r="11" spans="1:43" ht="18" customHeight="1" outlineLevel="1" x14ac:dyDescent="0.3">
      <c r="A11" s="26">
        <v>2</v>
      </c>
      <c r="B11" s="27" t="s">
        <v>14</v>
      </c>
      <c r="C11" s="44">
        <v>29794</v>
      </c>
      <c r="D11" s="39">
        <v>29794</v>
      </c>
      <c r="E11" s="29">
        <f t="shared" si="0"/>
        <v>100</v>
      </c>
      <c r="F11" s="29"/>
      <c r="G11" s="29"/>
      <c r="H11" s="29"/>
      <c r="I11" s="29"/>
      <c r="J11" s="29"/>
      <c r="K11" s="59"/>
      <c r="L11" s="59">
        <v>487</v>
      </c>
      <c r="M11" s="30">
        <v>510</v>
      </c>
      <c r="N11" s="30">
        <v>511</v>
      </c>
      <c r="O11" s="31" t="e">
        <f>N11-#REF!</f>
        <v>#REF!</v>
      </c>
      <c r="P11" s="31">
        <f t="shared" ref="P11:P17" si="2">N11-M11</f>
        <v>1</v>
      </c>
      <c r="Q11" s="31">
        <f t="shared" ref="Q11:Q17" si="3">N11-L11</f>
        <v>24</v>
      </c>
      <c r="R11" s="31">
        <f t="shared" ref="R11:R16" si="4">K11-N11</f>
        <v>-511</v>
      </c>
      <c r="S11" s="61" t="e">
        <f t="shared" ref="S11:S16" si="5">N11/K11*100</f>
        <v>#DIV/0!</v>
      </c>
      <c r="T11" s="31"/>
      <c r="U11" s="31">
        <v>350</v>
      </c>
      <c r="V11" s="30">
        <v>376</v>
      </c>
      <c r="W11" s="30">
        <v>379</v>
      </c>
      <c r="X11" s="53" t="e">
        <f>W11-#REF!</f>
        <v>#REF!</v>
      </c>
      <c r="Y11" s="53">
        <f t="shared" ref="Y11:Y17" si="6">W11-V11</f>
        <v>3</v>
      </c>
      <c r="Z11" s="53">
        <f t="shared" ref="Z11:Z17" si="7">W11-U11</f>
        <v>29</v>
      </c>
      <c r="AA11" s="53"/>
      <c r="AB11" s="31"/>
      <c r="AC11" s="31"/>
      <c r="AD11" s="31">
        <v>590</v>
      </c>
      <c r="AE11" s="31">
        <v>567</v>
      </c>
      <c r="AF11" s="31">
        <v>579</v>
      </c>
      <c r="AG11" s="53" t="e">
        <f>AF11-#REF!</f>
        <v>#REF!</v>
      </c>
      <c r="AH11" s="53">
        <f t="shared" ref="AH11:AH17" si="8">AF11-AE11</f>
        <v>12</v>
      </c>
      <c r="AI11" s="53">
        <f t="shared" ref="AI11:AI17" si="9">AF11-AD11</f>
        <v>-11</v>
      </c>
      <c r="AJ11" s="53">
        <f t="shared" ref="AJ11:AJ16" si="10">AC11-AF11</f>
        <v>-579</v>
      </c>
      <c r="AK11" s="61" t="e">
        <f t="shared" si="1"/>
        <v>#DIV/0!</v>
      </c>
      <c r="AL11" s="28"/>
      <c r="AM11" s="35"/>
      <c r="AN11" s="10"/>
      <c r="AO11" s="10"/>
      <c r="AQ11" s="10"/>
    </row>
    <row r="12" spans="1:43" ht="18" customHeight="1" outlineLevel="1" x14ac:dyDescent="0.3">
      <c r="A12" s="26">
        <v>3</v>
      </c>
      <c r="B12" s="27" t="s">
        <v>15</v>
      </c>
      <c r="C12" s="44">
        <v>25653</v>
      </c>
      <c r="D12" s="39">
        <v>25653</v>
      </c>
      <c r="E12" s="29">
        <f t="shared" si="0"/>
        <v>100</v>
      </c>
      <c r="F12" s="29"/>
      <c r="G12" s="29"/>
      <c r="H12" s="29"/>
      <c r="I12" s="29"/>
      <c r="J12" s="29"/>
      <c r="K12" s="59"/>
      <c r="L12" s="59">
        <v>539</v>
      </c>
      <c r="M12" s="30">
        <v>543</v>
      </c>
      <c r="N12" s="30">
        <v>544</v>
      </c>
      <c r="O12" s="31" t="e">
        <f>N12-#REF!</f>
        <v>#REF!</v>
      </c>
      <c r="P12" s="31">
        <f t="shared" si="2"/>
        <v>1</v>
      </c>
      <c r="Q12" s="31">
        <f t="shared" si="3"/>
        <v>5</v>
      </c>
      <c r="R12" s="31">
        <f t="shared" si="4"/>
        <v>-544</v>
      </c>
      <c r="S12" s="61" t="e">
        <f t="shared" si="5"/>
        <v>#DIV/0!</v>
      </c>
      <c r="T12" s="31"/>
      <c r="U12" s="31">
        <v>397</v>
      </c>
      <c r="V12" s="30">
        <v>418</v>
      </c>
      <c r="W12" s="30">
        <v>417</v>
      </c>
      <c r="X12" s="53" t="e">
        <f>W12-#REF!</f>
        <v>#REF!</v>
      </c>
      <c r="Y12" s="53">
        <f t="shared" si="6"/>
        <v>-1</v>
      </c>
      <c r="Z12" s="53">
        <f t="shared" si="7"/>
        <v>20</v>
      </c>
      <c r="AA12" s="53"/>
      <c r="AB12" s="31"/>
      <c r="AC12" s="31"/>
      <c r="AD12" s="31">
        <v>816</v>
      </c>
      <c r="AE12" s="31">
        <v>744</v>
      </c>
      <c r="AF12" s="31">
        <v>763</v>
      </c>
      <c r="AG12" s="53" t="e">
        <f>AF12-#REF!</f>
        <v>#REF!</v>
      </c>
      <c r="AH12" s="53">
        <f t="shared" si="8"/>
        <v>19</v>
      </c>
      <c r="AI12" s="53">
        <f t="shared" si="9"/>
        <v>-53</v>
      </c>
      <c r="AJ12" s="53">
        <f t="shared" si="10"/>
        <v>-763</v>
      </c>
      <c r="AK12" s="61" t="e">
        <f t="shared" si="1"/>
        <v>#DIV/0!</v>
      </c>
      <c r="AL12" s="28"/>
      <c r="AM12" s="35"/>
      <c r="AN12" s="10"/>
      <c r="AO12" s="10"/>
      <c r="AQ12" s="10"/>
    </row>
    <row r="13" spans="1:43" ht="18" customHeight="1" outlineLevel="1" x14ac:dyDescent="0.3">
      <c r="A13" s="26">
        <v>4</v>
      </c>
      <c r="B13" s="27" t="s">
        <v>13</v>
      </c>
      <c r="C13" s="44">
        <v>51522</v>
      </c>
      <c r="D13" s="39">
        <v>51522</v>
      </c>
      <c r="E13" s="29">
        <f t="shared" si="0"/>
        <v>100</v>
      </c>
      <c r="F13" s="29"/>
      <c r="G13" s="29"/>
      <c r="H13" s="29"/>
      <c r="I13" s="29"/>
      <c r="J13" s="29"/>
      <c r="K13" s="59"/>
      <c r="L13" s="59">
        <v>1101</v>
      </c>
      <c r="M13" s="30">
        <v>1134</v>
      </c>
      <c r="N13" s="30">
        <v>1139</v>
      </c>
      <c r="O13" s="31" t="e">
        <f>N13-#REF!</f>
        <v>#REF!</v>
      </c>
      <c r="P13" s="31">
        <f t="shared" si="2"/>
        <v>5</v>
      </c>
      <c r="Q13" s="31">
        <f t="shared" si="3"/>
        <v>38</v>
      </c>
      <c r="R13" s="31">
        <f t="shared" si="4"/>
        <v>-1139</v>
      </c>
      <c r="S13" s="61" t="e">
        <f t="shared" si="5"/>
        <v>#DIV/0!</v>
      </c>
      <c r="T13" s="31"/>
      <c r="U13" s="31">
        <v>910</v>
      </c>
      <c r="V13" s="30">
        <v>951</v>
      </c>
      <c r="W13" s="30">
        <v>956</v>
      </c>
      <c r="X13" s="53" t="e">
        <f>W13-#REF!</f>
        <v>#REF!</v>
      </c>
      <c r="Y13" s="53">
        <f t="shared" si="6"/>
        <v>5</v>
      </c>
      <c r="Z13" s="53">
        <f t="shared" si="7"/>
        <v>46</v>
      </c>
      <c r="AA13" s="53"/>
      <c r="AB13" s="31"/>
      <c r="AC13" s="31"/>
      <c r="AD13" s="31">
        <v>1451</v>
      </c>
      <c r="AE13" s="31">
        <v>1502</v>
      </c>
      <c r="AF13" s="31">
        <v>1492</v>
      </c>
      <c r="AG13" s="53" t="e">
        <f>AF13-#REF!</f>
        <v>#REF!</v>
      </c>
      <c r="AH13" s="53">
        <f t="shared" si="8"/>
        <v>-10</v>
      </c>
      <c r="AI13" s="53">
        <f t="shared" si="9"/>
        <v>41</v>
      </c>
      <c r="AJ13" s="53">
        <f t="shared" si="10"/>
        <v>-1492</v>
      </c>
      <c r="AK13" s="61" t="e">
        <f t="shared" si="1"/>
        <v>#DIV/0!</v>
      </c>
      <c r="AL13" s="28"/>
      <c r="AM13" s="35"/>
      <c r="AN13" s="10"/>
      <c r="AO13" s="10"/>
      <c r="AQ13" s="10"/>
    </row>
    <row r="14" spans="1:43" ht="18" customHeight="1" outlineLevel="1" x14ac:dyDescent="0.3">
      <c r="A14" s="26">
        <v>5</v>
      </c>
      <c r="B14" s="38" t="s">
        <v>24</v>
      </c>
      <c r="C14" s="44">
        <v>27655</v>
      </c>
      <c r="D14" s="40">
        <v>27655</v>
      </c>
      <c r="E14" s="29">
        <f t="shared" si="0"/>
        <v>100</v>
      </c>
      <c r="F14" s="29"/>
      <c r="G14" s="29"/>
      <c r="H14" s="29"/>
      <c r="I14" s="29"/>
      <c r="J14" s="29"/>
      <c r="K14" s="59"/>
      <c r="L14" s="59">
        <v>1008</v>
      </c>
      <c r="M14" s="30">
        <v>956</v>
      </c>
      <c r="N14" s="30">
        <v>996</v>
      </c>
      <c r="O14" s="31" t="e">
        <f>N14-#REF!</f>
        <v>#REF!</v>
      </c>
      <c r="P14" s="31">
        <f t="shared" si="2"/>
        <v>40</v>
      </c>
      <c r="Q14" s="31">
        <f t="shared" si="3"/>
        <v>-12</v>
      </c>
      <c r="R14" s="31">
        <f t="shared" si="4"/>
        <v>-996</v>
      </c>
      <c r="S14" s="61" t="e">
        <f t="shared" si="5"/>
        <v>#DIV/0!</v>
      </c>
      <c r="T14" s="31"/>
      <c r="U14" s="31">
        <v>914</v>
      </c>
      <c r="V14" s="54">
        <v>864</v>
      </c>
      <c r="W14" s="54">
        <v>865</v>
      </c>
      <c r="X14" s="53" t="e">
        <f>W14-#REF!</f>
        <v>#REF!</v>
      </c>
      <c r="Y14" s="53">
        <f t="shared" si="6"/>
        <v>1</v>
      </c>
      <c r="Z14" s="53">
        <f t="shared" si="7"/>
        <v>-49</v>
      </c>
      <c r="AA14" s="53"/>
      <c r="AB14" s="31"/>
      <c r="AC14" s="31"/>
      <c r="AD14" s="31">
        <v>1007</v>
      </c>
      <c r="AE14" s="54">
        <v>979</v>
      </c>
      <c r="AF14" s="54">
        <v>964</v>
      </c>
      <c r="AG14" s="53" t="e">
        <f>AF14-#REF!</f>
        <v>#REF!</v>
      </c>
      <c r="AH14" s="53">
        <f t="shared" si="8"/>
        <v>-15</v>
      </c>
      <c r="AI14" s="53">
        <f t="shared" si="9"/>
        <v>-43</v>
      </c>
      <c r="AJ14" s="53">
        <f t="shared" si="10"/>
        <v>-964</v>
      </c>
      <c r="AK14" s="61" t="e">
        <f t="shared" si="1"/>
        <v>#DIV/0!</v>
      </c>
      <c r="AL14" s="28"/>
      <c r="AM14" s="35"/>
      <c r="AN14" s="10"/>
      <c r="AO14" s="10"/>
      <c r="AQ14" s="10"/>
    </row>
    <row r="15" spans="1:43" ht="18" customHeight="1" outlineLevel="1" x14ac:dyDescent="0.3">
      <c r="A15" s="26">
        <v>6</v>
      </c>
      <c r="B15" s="38" t="s">
        <v>25</v>
      </c>
      <c r="C15" s="44">
        <v>28864</v>
      </c>
      <c r="D15" s="40">
        <v>28864</v>
      </c>
      <c r="E15" s="29">
        <f t="shared" si="0"/>
        <v>100</v>
      </c>
      <c r="F15" s="29"/>
      <c r="G15" s="29"/>
      <c r="H15" s="29"/>
      <c r="I15" s="29"/>
      <c r="J15" s="29"/>
      <c r="K15" s="59"/>
      <c r="L15" s="59">
        <v>464</v>
      </c>
      <c r="M15" s="30">
        <v>534</v>
      </c>
      <c r="N15" s="30">
        <v>549</v>
      </c>
      <c r="O15" s="31" t="e">
        <f>N15-#REF!</f>
        <v>#REF!</v>
      </c>
      <c r="P15" s="31">
        <f t="shared" si="2"/>
        <v>15</v>
      </c>
      <c r="Q15" s="31">
        <f t="shared" si="3"/>
        <v>85</v>
      </c>
      <c r="R15" s="31">
        <f t="shared" si="4"/>
        <v>-549</v>
      </c>
      <c r="S15" s="61" t="e">
        <f t="shared" si="5"/>
        <v>#DIV/0!</v>
      </c>
      <c r="T15" s="31"/>
      <c r="U15" s="31">
        <v>372</v>
      </c>
      <c r="V15" s="54">
        <v>391</v>
      </c>
      <c r="W15" s="54">
        <v>398</v>
      </c>
      <c r="X15" s="53" t="e">
        <f>W15-#REF!</f>
        <v>#REF!</v>
      </c>
      <c r="Y15" s="53">
        <f t="shared" si="6"/>
        <v>7</v>
      </c>
      <c r="Z15" s="53">
        <f t="shared" si="7"/>
        <v>26</v>
      </c>
      <c r="AA15" s="53"/>
      <c r="AB15" s="31"/>
      <c r="AC15" s="31"/>
      <c r="AD15" s="31">
        <v>980</v>
      </c>
      <c r="AE15" s="54">
        <v>906</v>
      </c>
      <c r="AF15" s="54">
        <v>894</v>
      </c>
      <c r="AG15" s="53" t="e">
        <f>AF15-#REF!</f>
        <v>#REF!</v>
      </c>
      <c r="AH15" s="53">
        <f t="shared" si="8"/>
        <v>-12</v>
      </c>
      <c r="AI15" s="53">
        <f t="shared" si="9"/>
        <v>-86</v>
      </c>
      <c r="AJ15" s="53">
        <f t="shared" si="10"/>
        <v>-894</v>
      </c>
      <c r="AK15" s="61" t="e">
        <f t="shared" si="1"/>
        <v>#DIV/0!</v>
      </c>
      <c r="AL15" s="28"/>
      <c r="AM15" s="35"/>
      <c r="AN15" s="10"/>
      <c r="AO15" s="10"/>
      <c r="AQ15" s="10"/>
    </row>
    <row r="16" spans="1:43" ht="18" customHeight="1" outlineLevel="1" x14ac:dyDescent="0.3">
      <c r="A16" s="26">
        <v>7</v>
      </c>
      <c r="B16" s="38" t="s">
        <v>26</v>
      </c>
      <c r="C16" s="44">
        <v>24621</v>
      </c>
      <c r="D16" s="40">
        <v>23632</v>
      </c>
      <c r="E16" s="29">
        <f t="shared" si="0"/>
        <v>95.98310385443321</v>
      </c>
      <c r="F16" s="29"/>
      <c r="G16" s="29"/>
      <c r="H16" s="29"/>
      <c r="I16" s="29"/>
      <c r="J16" s="29"/>
      <c r="K16" s="59"/>
      <c r="L16" s="59">
        <v>461</v>
      </c>
      <c r="M16" s="30">
        <v>486</v>
      </c>
      <c r="N16" s="30">
        <v>542</v>
      </c>
      <c r="O16" s="31" t="e">
        <f>N16-#REF!</f>
        <v>#REF!</v>
      </c>
      <c r="P16" s="31">
        <f t="shared" si="2"/>
        <v>56</v>
      </c>
      <c r="Q16" s="31">
        <f t="shared" si="3"/>
        <v>81</v>
      </c>
      <c r="R16" s="31">
        <f t="shared" si="4"/>
        <v>-542</v>
      </c>
      <c r="S16" s="61" t="e">
        <f t="shared" si="5"/>
        <v>#DIV/0!</v>
      </c>
      <c r="T16" s="31"/>
      <c r="U16" s="31">
        <v>383</v>
      </c>
      <c r="V16" s="54">
        <v>410</v>
      </c>
      <c r="W16" s="54">
        <v>414</v>
      </c>
      <c r="X16" s="53" t="e">
        <f>W16-#REF!</f>
        <v>#REF!</v>
      </c>
      <c r="Y16" s="53">
        <f t="shared" si="6"/>
        <v>4</v>
      </c>
      <c r="Z16" s="53">
        <f t="shared" si="7"/>
        <v>31</v>
      </c>
      <c r="AA16" s="53"/>
      <c r="AB16" s="31"/>
      <c r="AC16" s="31"/>
      <c r="AD16" s="31">
        <v>1040</v>
      </c>
      <c r="AE16" s="54">
        <v>844</v>
      </c>
      <c r="AF16" s="54">
        <v>864</v>
      </c>
      <c r="AG16" s="53" t="e">
        <f>AF16-#REF!</f>
        <v>#REF!</v>
      </c>
      <c r="AH16" s="53">
        <f t="shared" si="8"/>
        <v>20</v>
      </c>
      <c r="AI16" s="53">
        <f t="shared" si="9"/>
        <v>-176</v>
      </c>
      <c r="AJ16" s="53">
        <f t="shared" si="10"/>
        <v>-864</v>
      </c>
      <c r="AK16" s="61" t="e">
        <f t="shared" si="1"/>
        <v>#DIV/0!</v>
      </c>
      <c r="AL16" s="28"/>
      <c r="AM16" s="35"/>
      <c r="AN16" s="10"/>
      <c r="AO16" s="10"/>
      <c r="AQ16" s="10"/>
    </row>
    <row r="17" spans="1:41" s="16" customFormat="1" ht="18" customHeight="1" x14ac:dyDescent="0.3">
      <c r="A17" s="112" t="s">
        <v>1</v>
      </c>
      <c r="B17" s="112"/>
      <c r="C17" s="18">
        <f>SUM(C10:C16)</f>
        <v>227321</v>
      </c>
      <c r="D17" s="18">
        <f>SUM(D10:D16)</f>
        <v>226332</v>
      </c>
      <c r="E17" s="32">
        <f t="shared" si="0"/>
        <v>99.564932408356469</v>
      </c>
      <c r="F17" s="32"/>
      <c r="G17" s="48">
        <v>207924</v>
      </c>
      <c r="H17" s="48" t="e">
        <f>G17-#REF!</f>
        <v>#REF!</v>
      </c>
      <c r="I17" s="48"/>
      <c r="J17" s="48"/>
      <c r="K17" s="60">
        <f>SUM(K10:K16)</f>
        <v>0</v>
      </c>
      <c r="L17" s="60">
        <f>SUM(L10:L16)</f>
        <v>5712</v>
      </c>
      <c r="M17" s="50">
        <f>SUM(M10:M16)</f>
        <v>5754</v>
      </c>
      <c r="N17" s="50">
        <f>SUM(N10:N16)</f>
        <v>5866</v>
      </c>
      <c r="O17" s="55" t="e">
        <f>N17-#REF!</f>
        <v>#REF!</v>
      </c>
      <c r="P17" s="55">
        <f t="shared" si="2"/>
        <v>112</v>
      </c>
      <c r="Q17" s="55">
        <f t="shared" si="3"/>
        <v>154</v>
      </c>
      <c r="R17" s="55">
        <f>SUM(R10:R16)</f>
        <v>-5866</v>
      </c>
      <c r="S17" s="57" t="e">
        <f>N17/K17*100</f>
        <v>#DIV/0!</v>
      </c>
      <c r="T17" s="18">
        <f>SUM(T10:T16)</f>
        <v>0</v>
      </c>
      <c r="U17" s="18">
        <f>SUM(U10:U16)</f>
        <v>4771</v>
      </c>
      <c r="V17" s="18">
        <f>SUM(V10:V16)</f>
        <v>4805</v>
      </c>
      <c r="W17" s="18">
        <f>SUM(W10:W16)</f>
        <v>4826</v>
      </c>
      <c r="X17" s="18" t="e">
        <f t="shared" ref="X17:AA17" si="11">SUM(X10:X16)</f>
        <v>#REF!</v>
      </c>
      <c r="Y17" s="56">
        <f t="shared" si="6"/>
        <v>21</v>
      </c>
      <c r="Z17" s="56">
        <f t="shared" si="7"/>
        <v>55</v>
      </c>
      <c r="AA17" s="18">
        <f t="shared" si="11"/>
        <v>0</v>
      </c>
      <c r="AB17" s="57" t="e">
        <f>W17/T17*100</f>
        <v>#DIV/0!</v>
      </c>
      <c r="AC17" s="55">
        <f>SUM(AC10:AC16)</f>
        <v>0</v>
      </c>
      <c r="AD17" s="55">
        <f>SUM(AD10:AD16)</f>
        <v>7554</v>
      </c>
      <c r="AE17" s="18">
        <f>SUM(AE10:AE16)</f>
        <v>7154</v>
      </c>
      <c r="AF17" s="18">
        <f>SUM(AF10:AF16)</f>
        <v>7193</v>
      </c>
      <c r="AG17" s="56" t="e">
        <f>AF17-#REF!</f>
        <v>#REF!</v>
      </c>
      <c r="AH17" s="56">
        <f t="shared" si="8"/>
        <v>39</v>
      </c>
      <c r="AI17" s="56">
        <f t="shared" si="9"/>
        <v>-361</v>
      </c>
      <c r="AJ17" s="56">
        <f>SUM(AJ10:AJ16)</f>
        <v>-7193</v>
      </c>
      <c r="AK17" s="57" t="e">
        <f>AF17/AC17*100</f>
        <v>#DIV/0!</v>
      </c>
      <c r="AL17" s="37"/>
      <c r="AM17" s="36"/>
      <c r="AN17" s="10"/>
      <c r="AO17" s="25"/>
    </row>
    <row r="18" spans="1:41" ht="9.6" customHeight="1" x14ac:dyDescent="0.35">
      <c r="A18" s="11"/>
      <c r="B18" s="23"/>
      <c r="C18" s="12"/>
      <c r="D18" s="12"/>
      <c r="E18" s="12"/>
      <c r="F18" s="12"/>
      <c r="G18" s="12"/>
      <c r="H18" s="12"/>
      <c r="I18" s="13"/>
      <c r="J18" s="13"/>
      <c r="K18" s="13"/>
      <c r="L18" s="13"/>
      <c r="M18" s="13"/>
      <c r="N18" s="14"/>
      <c r="O18" s="13"/>
      <c r="P18" s="13"/>
      <c r="Q18" s="13"/>
      <c r="R18" s="13"/>
      <c r="S18" s="13"/>
      <c r="T18" s="13"/>
      <c r="U18" s="13"/>
      <c r="V18" s="13"/>
      <c r="W18" s="14"/>
      <c r="X18" s="13"/>
      <c r="Y18" s="13"/>
      <c r="Z18" s="13"/>
      <c r="AA18" s="13"/>
      <c r="AB18" s="13"/>
      <c r="AC18" s="13"/>
      <c r="AD18" s="13"/>
      <c r="AE18" s="13"/>
      <c r="AF18" s="14"/>
      <c r="AG18" s="13"/>
      <c r="AH18" s="13"/>
      <c r="AI18" s="13"/>
      <c r="AJ18" s="13"/>
      <c r="AK18" s="13"/>
      <c r="AL18" s="15"/>
      <c r="AM18" s="15"/>
    </row>
    <row r="19" spans="1:41" ht="21.6" customHeight="1" x14ac:dyDescent="0.3">
      <c r="A19" s="11"/>
      <c r="B19" s="113" t="s">
        <v>22</v>
      </c>
      <c r="C19" s="113"/>
      <c r="D19" s="113"/>
      <c r="E19" s="113"/>
      <c r="F19" s="113"/>
      <c r="G19" s="113"/>
      <c r="H19" s="113"/>
      <c r="I19" s="113"/>
      <c r="J19" s="113"/>
      <c r="K19" s="113"/>
      <c r="L19" s="49"/>
      <c r="M19" s="49"/>
      <c r="N19" s="49"/>
      <c r="O19" s="19"/>
      <c r="P19" s="19"/>
      <c r="Q19" s="19"/>
      <c r="R19" s="19"/>
      <c r="S19" s="19"/>
      <c r="T19" s="19"/>
      <c r="U19" s="19"/>
      <c r="V19" s="19"/>
      <c r="W19" s="19"/>
      <c r="X19" s="33"/>
      <c r="Y19" s="33"/>
      <c r="Z19" s="33"/>
      <c r="AA19" s="33"/>
      <c r="AB19" s="33"/>
      <c r="AC19" s="33"/>
      <c r="AD19" s="33"/>
      <c r="AE19" s="33"/>
      <c r="AF19" s="19"/>
      <c r="AG19" s="19"/>
      <c r="AH19" s="19"/>
      <c r="AI19" s="19"/>
      <c r="AJ19" s="19"/>
      <c r="AK19" s="19"/>
      <c r="AL19" s="19"/>
      <c r="AM19" s="19"/>
    </row>
    <row r="20" spans="1:41" ht="18" x14ac:dyDescent="0.35"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23"/>
      <c r="Q20" s="23"/>
      <c r="R20" s="23"/>
      <c r="S20" s="23"/>
      <c r="T20" s="23"/>
      <c r="U20" s="23"/>
      <c r="V20" s="23"/>
      <c r="W20" s="3"/>
      <c r="X20" s="3"/>
      <c r="Y20" s="3"/>
      <c r="Z20" s="3"/>
      <c r="AA20" s="3"/>
      <c r="AB20" s="3"/>
      <c r="AC20" s="3"/>
      <c r="AD20" s="3"/>
      <c r="AE20" s="3"/>
      <c r="AF20" s="6"/>
      <c r="AG20" s="3"/>
      <c r="AH20" s="3"/>
      <c r="AI20" s="3"/>
      <c r="AJ20" s="3"/>
      <c r="AK20" s="3"/>
    </row>
    <row r="21" spans="1:41" ht="17.399999999999999" x14ac:dyDescent="0.3">
      <c r="B21" s="5" t="s">
        <v>4</v>
      </c>
      <c r="C21" s="5"/>
      <c r="D21" s="111"/>
      <c r="E21" s="111"/>
      <c r="F21" s="21"/>
      <c r="G21" s="21"/>
      <c r="H21" s="21"/>
      <c r="I21" s="21"/>
      <c r="J21" s="21"/>
      <c r="K21" s="21"/>
      <c r="L21" s="21"/>
      <c r="M21" s="21"/>
      <c r="N21" s="2"/>
      <c r="O21" s="2"/>
      <c r="P21" s="2"/>
      <c r="Q21" s="2"/>
      <c r="R21" s="2"/>
      <c r="S21" s="2"/>
      <c r="T21" s="2"/>
      <c r="U21" s="2"/>
      <c r="V21" s="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41" ht="17.399999999999999" x14ac:dyDescent="0.3">
      <c r="B22" s="2"/>
      <c r="C22" s="2"/>
      <c r="D22" s="9"/>
      <c r="E22" s="9"/>
      <c r="F22" s="9"/>
      <c r="G22" s="9"/>
      <c r="H22" s="9"/>
      <c r="I22" s="21"/>
      <c r="J22" s="21"/>
      <c r="K22" s="21"/>
      <c r="L22" s="21"/>
      <c r="M22" s="21"/>
      <c r="N22" s="9"/>
      <c r="O22" s="9"/>
      <c r="P22" s="9"/>
      <c r="Q22" s="9"/>
      <c r="R22" s="9"/>
      <c r="S22" s="9"/>
      <c r="T22" s="9"/>
      <c r="U22" s="9"/>
      <c r="V22" s="9"/>
      <c r="W22" s="9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41" ht="17.399999999999999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"/>
      <c r="O23" s="2"/>
      <c r="P23" s="2"/>
      <c r="Q23" s="2"/>
      <c r="R23" s="2"/>
      <c r="S23" s="2"/>
      <c r="T23" s="2"/>
      <c r="U23" s="2"/>
      <c r="V23" s="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41" ht="17.399999999999999" x14ac:dyDescent="0.3">
      <c r="B24" s="5"/>
    </row>
    <row r="25" spans="1:41" ht="17.399999999999999" x14ac:dyDescent="0.3">
      <c r="B25" s="5"/>
    </row>
    <row r="26" spans="1:41" ht="17.399999999999999" x14ac:dyDescent="0.3">
      <c r="B26" s="5" t="s">
        <v>5</v>
      </c>
    </row>
  </sheetData>
  <mergeCells count="19">
    <mergeCell ref="A5:AL5"/>
    <mergeCell ref="A1:D1"/>
    <mergeCell ref="O1:AL1"/>
    <mergeCell ref="A2:D2"/>
    <mergeCell ref="O2:AL2"/>
    <mergeCell ref="A3:C3"/>
    <mergeCell ref="A17:B17"/>
    <mergeCell ref="B19:K19"/>
    <mergeCell ref="B20:O20"/>
    <mergeCell ref="D21:E21"/>
    <mergeCell ref="A6:AL6"/>
    <mergeCell ref="A8:A9"/>
    <mergeCell ref="B8:B9"/>
    <mergeCell ref="C8:E8"/>
    <mergeCell ref="G8:J8"/>
    <mergeCell ref="K8:S8"/>
    <mergeCell ref="T8:AB8"/>
    <mergeCell ref="AC8:AK8"/>
    <mergeCell ref="AL8:AL9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H4" workbookViewId="0">
      <selection activeCell="M9" sqref="M9:M15"/>
    </sheetView>
  </sheetViews>
  <sheetFormatPr defaultRowHeight="14.4" outlineLevelRow="1" outlineLevelCol="1" x14ac:dyDescent="0.3"/>
  <cols>
    <col min="1" max="1" width="5.88671875" customWidth="1"/>
    <col min="2" max="2" width="19.33203125" customWidth="1"/>
    <col min="3" max="4" width="13.5546875" customWidth="1" outlineLevel="1"/>
    <col min="5" max="5" width="10.88671875" customWidth="1" outlineLevel="1"/>
    <col min="6" max="6" width="9" customWidth="1"/>
    <col min="7" max="7" width="12.109375" customWidth="1" outlineLevel="1"/>
    <col min="8" max="10" width="10.33203125" customWidth="1"/>
    <col min="11" max="11" width="8.88671875" customWidth="1"/>
    <col min="12" max="12" width="9.21875" customWidth="1"/>
    <col min="13" max="13" width="11.109375" customWidth="1" outlineLevel="1"/>
    <col min="14" max="17" width="8.6640625" customWidth="1"/>
    <col min="18" max="18" width="8" customWidth="1"/>
    <col min="19" max="19" width="11.5546875" customWidth="1" outlineLevel="1"/>
    <col min="20" max="23" width="8.6640625" customWidth="1"/>
    <col min="24" max="24" width="6.88671875" customWidth="1"/>
    <col min="25" max="25" width="9.44140625" customWidth="1"/>
  </cols>
  <sheetData>
    <row r="1" spans="1:29" ht="17.25" customHeight="1" x14ac:dyDescent="0.3">
      <c r="A1" s="118" t="s">
        <v>41</v>
      </c>
      <c r="B1" s="118"/>
      <c r="C1" s="118"/>
      <c r="D1" s="118"/>
      <c r="E1" s="63"/>
      <c r="F1" s="8"/>
      <c r="G1" s="8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7"/>
      <c r="Y1" s="63"/>
    </row>
    <row r="2" spans="1:29" ht="16.8" customHeight="1" x14ac:dyDescent="0.3">
      <c r="A2" s="119" t="s">
        <v>42</v>
      </c>
      <c r="B2" s="119"/>
      <c r="C2" s="119"/>
      <c r="D2" s="119"/>
      <c r="E2" s="63"/>
      <c r="F2" s="8"/>
      <c r="G2" s="8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17"/>
      <c r="Y2" s="63"/>
    </row>
    <row r="3" spans="1:29" ht="15.75" customHeight="1" x14ac:dyDescent="0.3">
      <c r="A3" s="119"/>
      <c r="B3" s="117"/>
      <c r="C3" s="117"/>
      <c r="D3" s="63"/>
      <c r="E3" s="63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"/>
      <c r="T3" s="1"/>
      <c r="U3" s="1"/>
      <c r="V3" s="1"/>
      <c r="W3" s="1"/>
      <c r="X3" s="1"/>
      <c r="Y3" s="1"/>
    </row>
    <row r="4" spans="1:29" ht="12" customHeight="1" x14ac:dyDescent="0.3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63"/>
      <c r="U4" s="63"/>
      <c r="V4" s="63"/>
      <c r="W4" s="63"/>
      <c r="X4" s="63"/>
      <c r="Y4" s="63"/>
    </row>
    <row r="5" spans="1:29" ht="19.5" customHeight="1" x14ac:dyDescent="0.3">
      <c r="A5" s="116" t="s">
        <v>48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7"/>
      <c r="T5" s="117"/>
      <c r="U5" s="117"/>
      <c r="V5" s="117"/>
      <c r="W5" s="117"/>
      <c r="X5" s="117"/>
      <c r="Y5" s="63"/>
    </row>
    <row r="6" spans="1:29" ht="17.25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7" t="s">
        <v>16</v>
      </c>
      <c r="Y6" s="7"/>
    </row>
    <row r="7" spans="1:29" ht="31.2" customHeight="1" x14ac:dyDescent="0.3">
      <c r="A7" s="125" t="s">
        <v>0</v>
      </c>
      <c r="B7" s="125" t="s">
        <v>12</v>
      </c>
      <c r="C7" s="128" t="s">
        <v>31</v>
      </c>
      <c r="D7" s="128"/>
      <c r="E7" s="128"/>
      <c r="F7" s="123" t="s">
        <v>10</v>
      </c>
      <c r="G7" s="124"/>
      <c r="H7" s="124"/>
      <c r="I7" s="124"/>
      <c r="J7" s="124"/>
      <c r="K7" s="129"/>
      <c r="L7" s="123" t="s">
        <v>9</v>
      </c>
      <c r="M7" s="124"/>
      <c r="N7" s="124"/>
      <c r="O7" s="124"/>
      <c r="P7" s="124"/>
      <c r="Q7" s="129"/>
      <c r="R7" s="123" t="s">
        <v>11</v>
      </c>
      <c r="S7" s="124"/>
      <c r="T7" s="124"/>
      <c r="U7" s="124"/>
      <c r="V7" s="124"/>
      <c r="W7" s="129"/>
      <c r="X7" s="114" t="s">
        <v>8</v>
      </c>
      <c r="Y7" s="34"/>
    </row>
    <row r="8" spans="1:29" ht="70.2" customHeight="1" x14ac:dyDescent="0.3">
      <c r="A8" s="126"/>
      <c r="B8" s="126"/>
      <c r="C8" s="68" t="s">
        <v>27</v>
      </c>
      <c r="D8" s="67" t="s">
        <v>47</v>
      </c>
      <c r="E8" s="43" t="s">
        <v>17</v>
      </c>
      <c r="F8" s="67" t="s">
        <v>33</v>
      </c>
      <c r="G8" s="67" t="s">
        <v>47</v>
      </c>
      <c r="H8" s="67" t="s">
        <v>30</v>
      </c>
      <c r="I8" s="67" t="s">
        <v>46</v>
      </c>
      <c r="J8" s="67" t="s">
        <v>34</v>
      </c>
      <c r="K8" s="43" t="s">
        <v>17</v>
      </c>
      <c r="L8" s="67" t="s">
        <v>33</v>
      </c>
      <c r="M8" s="67" t="s">
        <v>47</v>
      </c>
      <c r="N8" s="67" t="s">
        <v>30</v>
      </c>
      <c r="O8" s="67" t="s">
        <v>46</v>
      </c>
      <c r="P8" s="67" t="s">
        <v>34</v>
      </c>
      <c r="Q8" s="43" t="s">
        <v>17</v>
      </c>
      <c r="R8" s="67" t="s">
        <v>33</v>
      </c>
      <c r="S8" s="67" t="s">
        <v>47</v>
      </c>
      <c r="T8" s="67" t="s">
        <v>30</v>
      </c>
      <c r="U8" s="67" t="s">
        <v>46</v>
      </c>
      <c r="V8" s="67" t="s">
        <v>34</v>
      </c>
      <c r="W8" s="43" t="s">
        <v>17</v>
      </c>
      <c r="X8" s="115"/>
      <c r="Y8" s="34"/>
      <c r="Z8" s="34"/>
    </row>
    <row r="9" spans="1:29" ht="18" customHeight="1" outlineLevel="1" x14ac:dyDescent="0.3">
      <c r="A9" s="26">
        <v>1</v>
      </c>
      <c r="B9" s="27" t="s">
        <v>23</v>
      </c>
      <c r="C9" s="71">
        <v>39379</v>
      </c>
      <c r="D9" s="72">
        <v>39379</v>
      </c>
      <c r="E9" s="29">
        <f t="shared" ref="E9:E16" si="0">D9/C9*100</f>
        <v>100</v>
      </c>
      <c r="F9" s="59">
        <v>1625</v>
      </c>
      <c r="G9" s="30">
        <v>1565</v>
      </c>
      <c r="H9" s="31">
        <f>G9-'Thang 3'!N10</f>
        <v>-20</v>
      </c>
      <c r="I9" s="31">
        <f>G9-'Thang 12'!Q10</f>
        <v>-87</v>
      </c>
      <c r="J9" s="31">
        <f t="shared" ref="J9:J15" si="1">F9-G9</f>
        <v>60</v>
      </c>
      <c r="K9" s="61">
        <f t="shared" ref="K9:K16" si="2">G9/F9*100</f>
        <v>96.307692307692307</v>
      </c>
      <c r="L9" s="31">
        <v>1420.25</v>
      </c>
      <c r="M9" s="30">
        <v>1374</v>
      </c>
      <c r="N9" s="53">
        <f>M9-'Thang 3'!W10</f>
        <v>-23</v>
      </c>
      <c r="O9" s="53">
        <f>M9-'Thang 12'!Y10</f>
        <v>-71</v>
      </c>
      <c r="P9" s="53">
        <f>L9-M9</f>
        <v>46.25</v>
      </c>
      <c r="Q9" s="70">
        <f>M9/L9*100</f>
        <v>96.743531068473871</v>
      </c>
      <c r="R9" s="31">
        <v>1862.0796500000001</v>
      </c>
      <c r="S9" s="31">
        <v>1617</v>
      </c>
      <c r="T9" s="53">
        <f>S9-'Thang 3'!AF10</f>
        <v>-20</v>
      </c>
      <c r="U9" s="53">
        <f>S9-'Thang 12'!AG10</f>
        <v>-53</v>
      </c>
      <c r="V9" s="53">
        <f t="shared" ref="V9:V15" si="3">R9-S9</f>
        <v>245.07965000000013</v>
      </c>
      <c r="W9" s="61">
        <f t="shared" ref="W9:W16" si="4">S9/R9*100</f>
        <v>86.838390613419776</v>
      </c>
      <c r="X9" s="28"/>
      <c r="Y9" s="35">
        <f>M9+6</f>
        <v>1380</v>
      </c>
      <c r="Z9" s="10"/>
      <c r="AA9" s="10"/>
      <c r="AC9" s="10"/>
    </row>
    <row r="10" spans="1:29" ht="18" customHeight="1" outlineLevel="1" x14ac:dyDescent="0.3">
      <c r="A10" s="26">
        <v>2</v>
      </c>
      <c r="B10" s="27" t="s">
        <v>14</v>
      </c>
      <c r="C10" s="71">
        <v>29921</v>
      </c>
      <c r="D10" s="72">
        <v>29921</v>
      </c>
      <c r="E10" s="29">
        <f t="shared" si="0"/>
        <v>100</v>
      </c>
      <c r="F10" s="59">
        <v>815</v>
      </c>
      <c r="G10" s="30">
        <v>525</v>
      </c>
      <c r="H10" s="31">
        <f>G10-'Thang 3'!N11</f>
        <v>14</v>
      </c>
      <c r="I10" s="31">
        <f>G10-'Thang 12'!Q11</f>
        <v>38</v>
      </c>
      <c r="J10" s="31">
        <f t="shared" si="1"/>
        <v>290</v>
      </c>
      <c r="K10" s="61">
        <f t="shared" si="2"/>
        <v>64.417177914110425</v>
      </c>
      <c r="L10" s="31">
        <v>661.1</v>
      </c>
      <c r="M10" s="30">
        <v>391</v>
      </c>
      <c r="N10" s="53">
        <f>M10-'Thang 3'!W11</f>
        <v>12</v>
      </c>
      <c r="O10" s="53">
        <f>M10-'Thang 12'!Y11</f>
        <v>41</v>
      </c>
      <c r="P10" s="53">
        <f t="shared" ref="P10:P15" si="5">L10-M10</f>
        <v>270.10000000000002</v>
      </c>
      <c r="Q10" s="70">
        <f t="shared" ref="Q10:Q16" si="6">M10/L10*100</f>
        <v>59.14385115716231</v>
      </c>
      <c r="R10" s="31">
        <v>1297.0753500000001</v>
      </c>
      <c r="S10" s="31">
        <v>587</v>
      </c>
      <c r="T10" s="53">
        <f>S10-'Thang 3'!AF11</f>
        <v>8</v>
      </c>
      <c r="U10" s="53">
        <f>S10-'Thang 12'!AG11</f>
        <v>-3</v>
      </c>
      <c r="V10" s="53">
        <f t="shared" si="3"/>
        <v>710.07535000000007</v>
      </c>
      <c r="W10" s="61">
        <f t="shared" si="4"/>
        <v>45.255659202836597</v>
      </c>
      <c r="X10" s="28"/>
      <c r="Y10" s="35">
        <f t="shared" ref="Y10:Y15" si="7">M10+6</f>
        <v>397</v>
      </c>
      <c r="Z10" s="10"/>
      <c r="AA10" s="10"/>
      <c r="AC10" s="10"/>
    </row>
    <row r="11" spans="1:29" ht="18" customHeight="1" outlineLevel="1" x14ac:dyDescent="0.3">
      <c r="A11" s="26">
        <v>3</v>
      </c>
      <c r="B11" s="27" t="s">
        <v>15</v>
      </c>
      <c r="C11" s="71">
        <v>25763</v>
      </c>
      <c r="D11" s="72">
        <v>25763</v>
      </c>
      <c r="E11" s="29">
        <f t="shared" si="0"/>
        <v>100</v>
      </c>
      <c r="F11" s="59">
        <v>652.29999999999995</v>
      </c>
      <c r="G11" s="30">
        <v>570</v>
      </c>
      <c r="H11" s="31">
        <f>G11-'Thang 3'!N12</f>
        <v>26</v>
      </c>
      <c r="I11" s="31">
        <f>G11-'Thang 12'!Q12</f>
        <v>31</v>
      </c>
      <c r="J11" s="31">
        <f t="shared" si="1"/>
        <v>82.299999999999955</v>
      </c>
      <c r="K11" s="61">
        <f t="shared" si="2"/>
        <v>87.383105932852985</v>
      </c>
      <c r="L11" s="31">
        <v>565.4</v>
      </c>
      <c r="M11" s="30">
        <v>441</v>
      </c>
      <c r="N11" s="53">
        <f>M11-'Thang 3'!W12</f>
        <v>24</v>
      </c>
      <c r="O11" s="53">
        <f>M11-'Thang 12'!Y12</f>
        <v>44</v>
      </c>
      <c r="P11" s="53">
        <f t="shared" si="5"/>
        <v>124.39999999999998</v>
      </c>
      <c r="Q11" s="70">
        <f t="shared" si="6"/>
        <v>77.997877608772555</v>
      </c>
      <c r="R11" s="31">
        <v>1116.8260500000001</v>
      </c>
      <c r="S11" s="31">
        <v>757</v>
      </c>
      <c r="T11" s="53">
        <f>S11-'Thang 3'!AF12</f>
        <v>-6</v>
      </c>
      <c r="U11" s="53">
        <f>S11-'Thang 12'!AG12</f>
        <v>-59</v>
      </c>
      <c r="V11" s="53">
        <f t="shared" si="3"/>
        <v>359.82605000000012</v>
      </c>
      <c r="W11" s="61">
        <f t="shared" si="4"/>
        <v>67.781370250094</v>
      </c>
      <c r="X11" s="28"/>
      <c r="Y11" s="35">
        <f t="shared" si="7"/>
        <v>447</v>
      </c>
      <c r="Z11" s="10"/>
      <c r="AA11" s="10"/>
      <c r="AC11" s="10"/>
    </row>
    <row r="12" spans="1:29" ht="18" customHeight="1" outlineLevel="1" x14ac:dyDescent="0.3">
      <c r="A12" s="26">
        <v>4</v>
      </c>
      <c r="B12" s="27" t="s">
        <v>13</v>
      </c>
      <c r="C12" s="71">
        <v>51742</v>
      </c>
      <c r="D12" s="72">
        <v>51742</v>
      </c>
      <c r="E12" s="29">
        <f t="shared" si="0"/>
        <v>100</v>
      </c>
      <c r="F12" s="59">
        <v>1151</v>
      </c>
      <c r="G12" s="30">
        <f>1159-9</f>
        <v>1150</v>
      </c>
      <c r="H12" s="31">
        <f>G12-'Thang 3'!N13</f>
        <v>11</v>
      </c>
      <c r="I12" s="31">
        <f>G12-'Thang 12'!Q13</f>
        <v>49</v>
      </c>
      <c r="J12" s="31">
        <f t="shared" si="1"/>
        <v>1</v>
      </c>
      <c r="K12" s="61">
        <f t="shared" si="2"/>
        <v>99.913119026933103</v>
      </c>
      <c r="L12" s="31">
        <v>978</v>
      </c>
      <c r="M12" s="30">
        <v>962</v>
      </c>
      <c r="N12" s="53">
        <f>M12-'Thang 3'!W13</f>
        <v>6</v>
      </c>
      <c r="O12" s="53">
        <f>M12-'Thang 12'!Y13</f>
        <v>52</v>
      </c>
      <c r="P12" s="53">
        <f t="shared" si="5"/>
        <v>16</v>
      </c>
      <c r="Q12" s="70">
        <f t="shared" si="6"/>
        <v>98.3640081799591</v>
      </c>
      <c r="R12" s="31">
        <v>2043.0157000000004</v>
      </c>
      <c r="S12" s="31">
        <v>1479</v>
      </c>
      <c r="T12" s="53">
        <f>S12-'Thang 3'!AF13</f>
        <v>-13</v>
      </c>
      <c r="U12" s="53">
        <f>S12-'Thang 12'!AG13</f>
        <v>28</v>
      </c>
      <c r="V12" s="53">
        <f t="shared" si="3"/>
        <v>564.01570000000038</v>
      </c>
      <c r="W12" s="61">
        <f t="shared" si="4"/>
        <v>72.39298258941426</v>
      </c>
      <c r="X12" s="28"/>
      <c r="Y12" s="35">
        <f t="shared" si="7"/>
        <v>968</v>
      </c>
      <c r="Z12" s="10"/>
      <c r="AA12" s="10"/>
      <c r="AC12" s="10"/>
    </row>
    <row r="13" spans="1:29" ht="18" customHeight="1" outlineLevel="1" x14ac:dyDescent="0.3">
      <c r="A13" s="26">
        <v>5</v>
      </c>
      <c r="B13" s="38" t="s">
        <v>24</v>
      </c>
      <c r="C13" s="71">
        <v>27773</v>
      </c>
      <c r="D13" s="72">
        <v>27773</v>
      </c>
      <c r="E13" s="29">
        <f t="shared" si="0"/>
        <v>100</v>
      </c>
      <c r="F13" s="59">
        <v>1205.5999999999999</v>
      </c>
      <c r="G13" s="30">
        <v>1016</v>
      </c>
      <c r="H13" s="31">
        <f>G13-'Thang 3'!N14</f>
        <v>20</v>
      </c>
      <c r="I13" s="31">
        <f>G13-'Thang 12'!Q14</f>
        <v>8</v>
      </c>
      <c r="J13" s="31">
        <f t="shared" si="1"/>
        <v>189.59999999999991</v>
      </c>
      <c r="K13" s="61">
        <f t="shared" si="2"/>
        <v>84.273390842733917</v>
      </c>
      <c r="L13" s="31">
        <v>1005.4</v>
      </c>
      <c r="M13" s="54">
        <v>863</v>
      </c>
      <c r="N13" s="53">
        <f>M13-'Thang 3'!W14</f>
        <v>-2</v>
      </c>
      <c r="O13" s="53">
        <f>M13-'Thang 12'!Y14</f>
        <v>-51</v>
      </c>
      <c r="P13" s="53">
        <f t="shared" si="5"/>
        <v>142.39999999999998</v>
      </c>
      <c r="Q13" s="70">
        <f t="shared" si="6"/>
        <v>85.836482991844036</v>
      </c>
      <c r="R13" s="31">
        <v>1203.95955</v>
      </c>
      <c r="S13" s="54">
        <v>921</v>
      </c>
      <c r="T13" s="53">
        <f>S13-'Thang 3'!AF14</f>
        <v>-43</v>
      </c>
      <c r="U13" s="53">
        <f>S13-'Thang 12'!AG14</f>
        <v>-86</v>
      </c>
      <c r="V13" s="53">
        <f t="shared" si="3"/>
        <v>282.95955000000004</v>
      </c>
      <c r="W13" s="61">
        <f t="shared" si="4"/>
        <v>76.497586650647847</v>
      </c>
      <c r="X13" s="28"/>
      <c r="Y13" s="35">
        <f t="shared" si="7"/>
        <v>869</v>
      </c>
      <c r="Z13" s="10"/>
      <c r="AA13" s="10"/>
      <c r="AC13" s="10"/>
    </row>
    <row r="14" spans="1:29" ht="18" customHeight="1" outlineLevel="1" x14ac:dyDescent="0.3">
      <c r="A14" s="26">
        <v>6</v>
      </c>
      <c r="B14" s="38" t="s">
        <v>25</v>
      </c>
      <c r="C14" s="71">
        <v>28987</v>
      </c>
      <c r="D14" s="72">
        <v>28987</v>
      </c>
      <c r="E14" s="29">
        <f t="shared" si="0"/>
        <v>100</v>
      </c>
      <c r="F14" s="59">
        <v>591</v>
      </c>
      <c r="G14" s="30">
        <v>551</v>
      </c>
      <c r="H14" s="31">
        <f>G14-'Thang 3'!N15</f>
        <v>2</v>
      </c>
      <c r="I14" s="31">
        <f>G14-'Thang 12'!Q15</f>
        <v>87</v>
      </c>
      <c r="J14" s="31">
        <f t="shared" si="1"/>
        <v>40</v>
      </c>
      <c r="K14" s="61">
        <f t="shared" si="2"/>
        <v>93.231810490693732</v>
      </c>
      <c r="L14" s="31">
        <v>446.88</v>
      </c>
      <c r="M14" s="54">
        <v>410</v>
      </c>
      <c r="N14" s="53">
        <f>M14-'Thang 3'!W15</f>
        <v>12</v>
      </c>
      <c r="O14" s="53">
        <f>M14-'Thang 12'!Y15</f>
        <v>38</v>
      </c>
      <c r="P14" s="53">
        <f t="shared" si="5"/>
        <v>36.879999999999995</v>
      </c>
      <c r="Q14" s="70">
        <f t="shared" si="6"/>
        <v>91.747225205871814</v>
      </c>
      <c r="R14" s="31">
        <v>1256.5864500000002</v>
      </c>
      <c r="S14" s="54">
        <v>901</v>
      </c>
      <c r="T14" s="53">
        <f>S14-'Thang 3'!AF15</f>
        <v>7</v>
      </c>
      <c r="U14" s="53">
        <f>S14-'Thang 12'!AG15</f>
        <v>-79</v>
      </c>
      <c r="V14" s="53">
        <f t="shared" si="3"/>
        <v>355.58645000000024</v>
      </c>
      <c r="W14" s="61">
        <f t="shared" si="4"/>
        <v>71.702189690172119</v>
      </c>
      <c r="X14" s="28"/>
      <c r="Y14" s="35">
        <f t="shared" si="7"/>
        <v>416</v>
      </c>
      <c r="Z14" s="10"/>
      <c r="AA14" s="10"/>
      <c r="AC14" s="10"/>
    </row>
    <row r="15" spans="1:29" ht="18" customHeight="1" outlineLevel="1" x14ac:dyDescent="0.3">
      <c r="A15" s="26">
        <v>7</v>
      </c>
      <c r="B15" s="38" t="s">
        <v>26</v>
      </c>
      <c r="C15" s="71">
        <v>24726</v>
      </c>
      <c r="D15" s="72">
        <v>23743</v>
      </c>
      <c r="E15" s="29">
        <f t="shared" si="0"/>
        <v>96.024427727897759</v>
      </c>
      <c r="F15" s="59">
        <v>541</v>
      </c>
      <c r="G15" s="30">
        <v>540</v>
      </c>
      <c r="H15" s="31">
        <f>G15-'Thang 3'!N16</f>
        <v>-2</v>
      </c>
      <c r="I15" s="31">
        <f>G15-'Thang 12'!Q16</f>
        <v>79</v>
      </c>
      <c r="J15" s="31">
        <f t="shared" si="1"/>
        <v>1</v>
      </c>
      <c r="K15" s="61">
        <f t="shared" si="2"/>
        <v>99.815157116451019</v>
      </c>
      <c r="L15" s="31">
        <v>439.04</v>
      </c>
      <c r="M15" s="54">
        <v>430</v>
      </c>
      <c r="N15" s="53">
        <f>M15-'Thang 3'!W16</f>
        <v>16</v>
      </c>
      <c r="O15" s="53">
        <f>M15-'Thang 12'!Y16</f>
        <v>47</v>
      </c>
      <c r="P15" s="53">
        <f t="shared" si="5"/>
        <v>9.0400000000000205</v>
      </c>
      <c r="Q15" s="70">
        <f t="shared" si="6"/>
        <v>97.940962099125358</v>
      </c>
      <c r="R15" s="31">
        <v>1071.8721</v>
      </c>
      <c r="S15" s="54">
        <v>910</v>
      </c>
      <c r="T15" s="53">
        <f>S15-'Thang 3'!AF16</f>
        <v>46</v>
      </c>
      <c r="U15" s="53">
        <f>S15-'Thang 12'!AG16</f>
        <v>-130</v>
      </c>
      <c r="V15" s="53">
        <f t="shared" si="3"/>
        <v>161.87210000000005</v>
      </c>
      <c r="W15" s="61">
        <f t="shared" si="4"/>
        <v>84.898188879064946</v>
      </c>
      <c r="X15" s="28"/>
      <c r="Y15" s="35">
        <f t="shared" si="7"/>
        <v>436</v>
      </c>
      <c r="Z15" s="10"/>
      <c r="AA15" s="10"/>
      <c r="AC15" s="10"/>
    </row>
    <row r="16" spans="1:29" s="16" customFormat="1" ht="18" customHeight="1" x14ac:dyDescent="0.3">
      <c r="A16" s="112" t="s">
        <v>1</v>
      </c>
      <c r="B16" s="112"/>
      <c r="C16" s="18">
        <f>SUM(C9:C15)</f>
        <v>228291</v>
      </c>
      <c r="D16" s="18">
        <f>SUM(D9:D15)</f>
        <v>227308</v>
      </c>
      <c r="E16" s="32">
        <f t="shared" si="0"/>
        <v>99.569409218935476</v>
      </c>
      <c r="F16" s="60">
        <f>SUM(F9:F15)</f>
        <v>6580.9</v>
      </c>
      <c r="G16" s="50">
        <f>SUM(G9:G15)</f>
        <v>5917</v>
      </c>
      <c r="H16" s="55">
        <f>G16-'Thang 3'!N17</f>
        <v>51</v>
      </c>
      <c r="I16" s="55">
        <f>G16-'Thang 12'!Q17</f>
        <v>205</v>
      </c>
      <c r="J16" s="55">
        <f>SUM(J9:J15)</f>
        <v>663.89999999999986</v>
      </c>
      <c r="K16" s="57">
        <f t="shared" si="2"/>
        <v>89.911714203224491</v>
      </c>
      <c r="L16" s="18">
        <f>SUM(L9:L15)</f>
        <v>5516.07</v>
      </c>
      <c r="M16" s="18">
        <f>SUM(M9:M15)</f>
        <v>4871</v>
      </c>
      <c r="N16" s="56">
        <f>M16-'Thang 3'!W17</f>
        <v>45</v>
      </c>
      <c r="O16" s="56">
        <f>M16-'Thang 12'!Y17</f>
        <v>100</v>
      </c>
      <c r="P16" s="18">
        <f t="shared" ref="P16" si="8">SUM(P9:P15)</f>
        <v>645.06999999999994</v>
      </c>
      <c r="Q16" s="69">
        <f t="shared" si="6"/>
        <v>88.305623387665506</v>
      </c>
      <c r="R16" s="55">
        <f>SUM(R9:R15)</f>
        <v>9851.414850000001</v>
      </c>
      <c r="S16" s="18">
        <f>SUM(S9:S15)</f>
        <v>7172</v>
      </c>
      <c r="T16" s="56">
        <f>S16-'Thang 3'!AF17</f>
        <v>-21</v>
      </c>
      <c r="U16" s="56">
        <f>S16-'Thang 12'!AG17</f>
        <v>-382</v>
      </c>
      <c r="V16" s="56">
        <f>SUM(V9:V15)</f>
        <v>2679.414850000001</v>
      </c>
      <c r="W16" s="57">
        <f t="shared" si="4"/>
        <v>72.801725530825649</v>
      </c>
      <c r="X16" s="37"/>
      <c r="Y16" s="36"/>
      <c r="Z16" s="10"/>
      <c r="AA16" s="25"/>
    </row>
    <row r="17" spans="1:25" ht="9.6" customHeight="1" x14ac:dyDescent="0.35">
      <c r="A17" s="11"/>
      <c r="B17" s="65"/>
      <c r="C17" s="12"/>
      <c r="D17" s="12"/>
      <c r="E17" s="12"/>
      <c r="F17" s="13"/>
      <c r="G17" s="14"/>
      <c r="H17" s="13"/>
      <c r="I17" s="13"/>
      <c r="J17" s="13"/>
      <c r="K17" s="13"/>
      <c r="L17" s="13"/>
      <c r="M17" s="14"/>
      <c r="N17" s="13"/>
      <c r="O17" s="13"/>
      <c r="P17" s="13"/>
      <c r="Q17" s="13"/>
      <c r="R17" s="13"/>
      <c r="S17" s="14"/>
      <c r="T17" s="13"/>
      <c r="U17" s="13"/>
      <c r="V17" s="13"/>
      <c r="W17" s="13"/>
      <c r="X17" s="15"/>
      <c r="Y17" s="15"/>
    </row>
    <row r="18" spans="1:25" ht="21.6" customHeight="1" x14ac:dyDescent="0.3">
      <c r="A18" s="11"/>
      <c r="B18" s="113" t="s">
        <v>22</v>
      </c>
      <c r="C18" s="113"/>
      <c r="D18" s="113"/>
      <c r="E18" s="113"/>
      <c r="F18" s="113"/>
      <c r="G18" s="64"/>
      <c r="H18" s="19"/>
      <c r="I18" s="19"/>
      <c r="J18" s="19"/>
      <c r="K18" s="19"/>
      <c r="L18" s="19"/>
      <c r="M18" s="19"/>
      <c r="N18" s="33"/>
      <c r="O18" s="33"/>
      <c r="P18" s="33"/>
      <c r="Q18" s="33"/>
      <c r="R18" s="33"/>
      <c r="S18" s="19"/>
      <c r="T18" s="19"/>
      <c r="U18" s="19"/>
      <c r="V18" s="19"/>
      <c r="W18" s="19"/>
      <c r="X18" s="19"/>
      <c r="Y18" s="19"/>
    </row>
    <row r="19" spans="1:25" ht="18" x14ac:dyDescent="0.35">
      <c r="B19" s="110"/>
      <c r="C19" s="110"/>
      <c r="D19" s="110"/>
      <c r="E19" s="110"/>
      <c r="F19" s="110"/>
      <c r="G19" s="110"/>
      <c r="H19" s="65"/>
      <c r="I19" s="65"/>
      <c r="J19" s="65"/>
      <c r="K19" s="65"/>
      <c r="L19" s="65"/>
      <c r="M19" s="3"/>
      <c r="N19" s="3"/>
      <c r="O19" s="3"/>
      <c r="P19" s="3"/>
      <c r="Q19" s="3"/>
      <c r="R19" s="3"/>
      <c r="S19" s="80"/>
      <c r="T19" s="3"/>
      <c r="U19" s="3"/>
      <c r="V19" s="3"/>
      <c r="W19" s="3"/>
    </row>
    <row r="20" spans="1:25" ht="17.399999999999999" x14ac:dyDescent="0.3">
      <c r="B20" s="5" t="s">
        <v>4</v>
      </c>
      <c r="C20" s="5"/>
      <c r="D20" s="111"/>
      <c r="E20" s="111"/>
      <c r="F20" s="66"/>
      <c r="G20" s="2"/>
      <c r="H20" s="2"/>
      <c r="I20" s="2"/>
      <c r="J20" s="2"/>
      <c r="K20" s="2"/>
      <c r="L20" s="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5" ht="17.399999999999999" x14ac:dyDescent="0.3">
      <c r="B21" s="2"/>
      <c r="C21" s="2"/>
      <c r="D21" s="9"/>
      <c r="E21" s="9"/>
      <c r="F21" s="66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5" ht="17.399999999999999" x14ac:dyDescent="0.3">
      <c r="B22" s="5"/>
      <c r="C22" s="5"/>
      <c r="D22" s="5"/>
      <c r="E22" s="5"/>
      <c r="F22" s="5"/>
      <c r="G22" s="2"/>
      <c r="H22" s="2"/>
      <c r="I22" s="2"/>
      <c r="J22" s="2"/>
      <c r="K22" s="2"/>
      <c r="L22" s="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5" ht="17.399999999999999" x14ac:dyDescent="0.3">
      <c r="B23" s="5"/>
    </row>
    <row r="24" spans="1:25" ht="17.399999999999999" x14ac:dyDescent="0.3">
      <c r="B24" s="5"/>
    </row>
    <row r="25" spans="1:25" ht="17.399999999999999" x14ac:dyDescent="0.3">
      <c r="B25" s="5" t="s">
        <v>5</v>
      </c>
    </row>
  </sheetData>
  <mergeCells count="17">
    <mergeCell ref="A16:B16"/>
    <mergeCell ref="B18:F18"/>
    <mergeCell ref="B19:G19"/>
    <mergeCell ref="D20:E20"/>
    <mergeCell ref="A7:A8"/>
    <mergeCell ref="B7:B8"/>
    <mergeCell ref="C7:E7"/>
    <mergeCell ref="F7:K7"/>
    <mergeCell ref="L7:Q7"/>
    <mergeCell ref="R7:W7"/>
    <mergeCell ref="X7:X8"/>
    <mergeCell ref="A1:D1"/>
    <mergeCell ref="H1:X1"/>
    <mergeCell ref="A2:D2"/>
    <mergeCell ref="H2:X2"/>
    <mergeCell ref="A3:C3"/>
    <mergeCell ref="A5:X5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C4" workbookViewId="0">
      <selection activeCell="D16" sqref="D16"/>
    </sheetView>
  </sheetViews>
  <sheetFormatPr defaultRowHeight="14.4" outlineLevelRow="1" outlineLevelCol="1" x14ac:dyDescent="0.3"/>
  <cols>
    <col min="1" max="1" width="5.88671875" customWidth="1"/>
    <col min="2" max="2" width="19.33203125" customWidth="1"/>
    <col min="3" max="4" width="13.5546875" customWidth="1" outlineLevel="1"/>
    <col min="5" max="5" width="10.88671875" customWidth="1" outlineLevel="1"/>
    <col min="6" max="6" width="9" customWidth="1"/>
    <col min="7" max="7" width="12.109375" customWidth="1" outlineLevel="1"/>
    <col min="8" max="10" width="10.33203125" customWidth="1"/>
    <col min="11" max="11" width="8.88671875" customWidth="1"/>
    <col min="12" max="12" width="9.21875" customWidth="1"/>
    <col min="13" max="13" width="11.109375" customWidth="1" outlineLevel="1"/>
    <col min="14" max="17" width="8.6640625" customWidth="1"/>
    <col min="18" max="18" width="8" customWidth="1"/>
    <col min="19" max="19" width="11.5546875" customWidth="1" outlineLevel="1"/>
    <col min="20" max="23" width="8.6640625" customWidth="1"/>
    <col min="24" max="24" width="6.88671875" customWidth="1"/>
    <col min="25" max="25" width="9.44140625" customWidth="1"/>
  </cols>
  <sheetData>
    <row r="1" spans="1:29" ht="17.25" customHeight="1" x14ac:dyDescent="0.3">
      <c r="A1" s="118" t="s">
        <v>41</v>
      </c>
      <c r="B1" s="118"/>
      <c r="C1" s="118"/>
      <c r="D1" s="118"/>
      <c r="E1" s="75"/>
      <c r="F1" s="8"/>
      <c r="G1" s="8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7"/>
      <c r="Y1" s="75"/>
    </row>
    <row r="2" spans="1:29" ht="16.8" customHeight="1" x14ac:dyDescent="0.3">
      <c r="A2" s="119" t="s">
        <v>42</v>
      </c>
      <c r="B2" s="119"/>
      <c r="C2" s="119"/>
      <c r="D2" s="119"/>
      <c r="E2" s="75"/>
      <c r="F2" s="8"/>
      <c r="G2" s="8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17"/>
      <c r="Y2" s="75"/>
    </row>
    <row r="3" spans="1:29" ht="15.75" customHeight="1" x14ac:dyDescent="0.3">
      <c r="A3" s="119"/>
      <c r="B3" s="117"/>
      <c r="C3" s="117"/>
      <c r="D3" s="75"/>
      <c r="E3" s="75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"/>
      <c r="T3" s="1"/>
      <c r="U3" s="1"/>
      <c r="V3" s="1"/>
      <c r="W3" s="1"/>
      <c r="X3" s="1"/>
      <c r="Y3" s="1"/>
    </row>
    <row r="4" spans="1:29" ht="12" customHeight="1" x14ac:dyDescent="0.3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5"/>
      <c r="T4" s="75"/>
      <c r="U4" s="75"/>
      <c r="V4" s="75"/>
      <c r="W4" s="75"/>
      <c r="X4" s="75"/>
      <c r="Y4" s="75"/>
    </row>
    <row r="5" spans="1:29" ht="19.5" customHeight="1" x14ac:dyDescent="0.3">
      <c r="A5" s="116" t="s">
        <v>49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7"/>
      <c r="T5" s="117"/>
      <c r="U5" s="117"/>
      <c r="V5" s="117"/>
      <c r="W5" s="117"/>
      <c r="X5" s="117"/>
      <c r="Y5" s="75"/>
    </row>
    <row r="6" spans="1:29" ht="17.25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7" t="s">
        <v>16</v>
      </c>
      <c r="Y6" s="7"/>
    </row>
    <row r="7" spans="1:29" ht="31.2" customHeight="1" x14ac:dyDescent="0.3">
      <c r="A7" s="125" t="s">
        <v>0</v>
      </c>
      <c r="B7" s="125" t="s">
        <v>12</v>
      </c>
      <c r="C7" s="128" t="s">
        <v>31</v>
      </c>
      <c r="D7" s="128"/>
      <c r="E7" s="128"/>
      <c r="F7" s="123" t="s">
        <v>10</v>
      </c>
      <c r="G7" s="124"/>
      <c r="H7" s="124"/>
      <c r="I7" s="124"/>
      <c r="J7" s="124"/>
      <c r="K7" s="129"/>
      <c r="L7" s="123" t="s">
        <v>9</v>
      </c>
      <c r="M7" s="124"/>
      <c r="N7" s="124"/>
      <c r="O7" s="124"/>
      <c r="P7" s="124"/>
      <c r="Q7" s="129"/>
      <c r="R7" s="123" t="s">
        <v>11</v>
      </c>
      <c r="S7" s="124"/>
      <c r="T7" s="124"/>
      <c r="U7" s="124"/>
      <c r="V7" s="124"/>
      <c r="W7" s="129"/>
      <c r="X7" s="114" t="s">
        <v>8</v>
      </c>
      <c r="Y7" s="34"/>
    </row>
    <row r="8" spans="1:29" ht="70.2" customHeight="1" x14ac:dyDescent="0.3">
      <c r="A8" s="126"/>
      <c r="B8" s="126"/>
      <c r="C8" s="73" t="s">
        <v>27</v>
      </c>
      <c r="D8" s="79" t="s">
        <v>50</v>
      </c>
      <c r="E8" s="43" t="s">
        <v>17</v>
      </c>
      <c r="F8" s="79" t="s">
        <v>33</v>
      </c>
      <c r="G8" s="79" t="s">
        <v>50</v>
      </c>
      <c r="H8" s="79" t="s">
        <v>30</v>
      </c>
      <c r="I8" s="79" t="s">
        <v>46</v>
      </c>
      <c r="J8" s="79" t="s">
        <v>34</v>
      </c>
      <c r="K8" s="43" t="s">
        <v>17</v>
      </c>
      <c r="L8" s="79" t="s">
        <v>33</v>
      </c>
      <c r="M8" s="79" t="s">
        <v>50</v>
      </c>
      <c r="N8" s="79" t="s">
        <v>30</v>
      </c>
      <c r="O8" s="79" t="s">
        <v>46</v>
      </c>
      <c r="P8" s="79" t="s">
        <v>34</v>
      </c>
      <c r="Q8" s="43" t="s">
        <v>17</v>
      </c>
      <c r="R8" s="79" t="s">
        <v>33</v>
      </c>
      <c r="S8" s="79" t="s">
        <v>50</v>
      </c>
      <c r="T8" s="79" t="s">
        <v>30</v>
      </c>
      <c r="U8" s="79" t="s">
        <v>46</v>
      </c>
      <c r="V8" s="79" t="s">
        <v>34</v>
      </c>
      <c r="W8" s="43" t="s">
        <v>17</v>
      </c>
      <c r="X8" s="115"/>
      <c r="Y8" s="34"/>
      <c r="Z8" s="34"/>
    </row>
    <row r="9" spans="1:29" ht="18" customHeight="1" outlineLevel="1" x14ac:dyDescent="0.3">
      <c r="A9" s="26">
        <v>1</v>
      </c>
      <c r="B9" s="27" t="s">
        <v>23</v>
      </c>
      <c r="C9" s="71">
        <v>39379</v>
      </c>
      <c r="D9" s="72">
        <v>39379</v>
      </c>
      <c r="E9" s="29">
        <f t="shared" ref="E9:E16" si="0">D9/C9*100</f>
        <v>100</v>
      </c>
      <c r="F9" s="59">
        <v>1625</v>
      </c>
      <c r="G9" s="30">
        <v>1607</v>
      </c>
      <c r="H9" s="31">
        <f>G9-'Thang 4'!G9</f>
        <v>42</v>
      </c>
      <c r="I9" s="31">
        <f>G9-'Thang 12'!Q10</f>
        <v>-45</v>
      </c>
      <c r="J9" s="31">
        <f t="shared" ref="J9:J15" si="1">F9-G9</f>
        <v>18</v>
      </c>
      <c r="K9" s="61">
        <f t="shared" ref="K9:K16" si="2">G9/F9*100</f>
        <v>98.892307692307696</v>
      </c>
      <c r="L9" s="31">
        <v>1420.25</v>
      </c>
      <c r="M9" s="30">
        <v>1416</v>
      </c>
      <c r="N9" s="53">
        <f>M9-'Thang 4'!M9</f>
        <v>42</v>
      </c>
      <c r="O9" s="53">
        <f>M9-'Thang 12'!Y10</f>
        <v>-29</v>
      </c>
      <c r="P9" s="53">
        <f>L9-M9</f>
        <v>4.25</v>
      </c>
      <c r="Q9" s="70">
        <f>M9/L9*100</f>
        <v>99.70075690899489</v>
      </c>
      <c r="R9" s="31">
        <v>1862.0796500000001</v>
      </c>
      <c r="S9" s="31">
        <v>1592</v>
      </c>
      <c r="T9" s="53">
        <f>S9-'Thang 4'!S9</f>
        <v>-25</v>
      </c>
      <c r="U9" s="53">
        <f>S9-'Thang 12'!AG10</f>
        <v>-78</v>
      </c>
      <c r="V9" s="53">
        <f t="shared" ref="V9:V15" si="3">R9-S9</f>
        <v>270.07965000000013</v>
      </c>
      <c r="W9" s="61">
        <f t="shared" ref="W9:W16" si="4">S9/R9*100</f>
        <v>85.495805724529546</v>
      </c>
      <c r="X9" s="28"/>
      <c r="Y9" s="35"/>
      <c r="Z9" s="10"/>
      <c r="AA9" s="10"/>
      <c r="AC9" s="10"/>
    </row>
    <row r="10" spans="1:29" ht="18" customHeight="1" outlineLevel="1" x14ac:dyDescent="0.3">
      <c r="A10" s="26">
        <v>2</v>
      </c>
      <c r="B10" s="27" t="s">
        <v>14</v>
      </c>
      <c r="C10" s="71">
        <v>29921</v>
      </c>
      <c r="D10" s="72">
        <v>29921</v>
      </c>
      <c r="E10" s="29">
        <f t="shared" si="0"/>
        <v>100</v>
      </c>
      <c r="F10" s="59">
        <v>815</v>
      </c>
      <c r="G10" s="30">
        <v>541</v>
      </c>
      <c r="H10" s="31">
        <f>G10-'Thang 4'!G10</f>
        <v>16</v>
      </c>
      <c r="I10" s="31">
        <f>G10-'Thang 12'!Q11</f>
        <v>54</v>
      </c>
      <c r="J10" s="31">
        <f t="shared" si="1"/>
        <v>274</v>
      </c>
      <c r="K10" s="61">
        <f t="shared" si="2"/>
        <v>66.380368098159508</v>
      </c>
      <c r="L10" s="31">
        <v>661.1</v>
      </c>
      <c r="M10" s="30">
        <v>412</v>
      </c>
      <c r="N10" s="53">
        <f>M10-'Thang 4'!M10</f>
        <v>21</v>
      </c>
      <c r="O10" s="53">
        <f>M10-'Thang 12'!Y11</f>
        <v>62</v>
      </c>
      <c r="P10" s="53">
        <f t="shared" ref="P10:P15" si="5">L10-M10</f>
        <v>249.10000000000002</v>
      </c>
      <c r="Q10" s="70">
        <f t="shared" ref="Q10:Q16" si="6">M10/L10*100</f>
        <v>62.320375132355167</v>
      </c>
      <c r="R10" s="31">
        <v>1297.0753500000001</v>
      </c>
      <c r="S10" s="31">
        <v>609</v>
      </c>
      <c r="T10" s="53">
        <f>S10-'Thang 4'!S10</f>
        <v>22</v>
      </c>
      <c r="U10" s="53">
        <f>S10-'Thang 12'!AG11</f>
        <v>19</v>
      </c>
      <c r="V10" s="53">
        <f t="shared" si="3"/>
        <v>688.07535000000007</v>
      </c>
      <c r="W10" s="61">
        <f t="shared" si="4"/>
        <v>46.951782716401169</v>
      </c>
      <c r="X10" s="28"/>
      <c r="Y10" s="35"/>
      <c r="Z10" s="10"/>
      <c r="AA10" s="10"/>
      <c r="AC10" s="10"/>
    </row>
    <row r="11" spans="1:29" ht="18" customHeight="1" outlineLevel="1" x14ac:dyDescent="0.3">
      <c r="A11" s="26">
        <v>3</v>
      </c>
      <c r="B11" s="27" t="s">
        <v>15</v>
      </c>
      <c r="C11" s="71">
        <v>25763</v>
      </c>
      <c r="D11" s="72">
        <v>25763</v>
      </c>
      <c r="E11" s="29">
        <f t="shared" si="0"/>
        <v>100</v>
      </c>
      <c r="F11" s="59">
        <v>652.29999999999995</v>
      </c>
      <c r="G11" s="30">
        <v>569</v>
      </c>
      <c r="H11" s="31">
        <f>G11-'Thang 4'!G11</f>
        <v>-1</v>
      </c>
      <c r="I11" s="31">
        <f>G11-'Thang 12'!Q12</f>
        <v>30</v>
      </c>
      <c r="J11" s="31">
        <f t="shared" si="1"/>
        <v>83.299999999999955</v>
      </c>
      <c r="K11" s="61">
        <f t="shared" si="2"/>
        <v>87.229802238233944</v>
      </c>
      <c r="L11" s="31">
        <v>565.4</v>
      </c>
      <c r="M11" s="30">
        <v>448</v>
      </c>
      <c r="N11" s="53">
        <f>M11-'Thang 4'!M11</f>
        <v>7</v>
      </c>
      <c r="O11" s="53">
        <f>M11-'Thang 12'!Y12</f>
        <v>51</v>
      </c>
      <c r="P11" s="53">
        <f t="shared" si="5"/>
        <v>117.39999999999998</v>
      </c>
      <c r="Q11" s="70">
        <f t="shared" si="6"/>
        <v>79.235939158118157</v>
      </c>
      <c r="R11" s="31">
        <v>1116.8260500000001</v>
      </c>
      <c r="S11" s="31">
        <v>768</v>
      </c>
      <c r="T11" s="53">
        <f>S11-'Thang 4'!S11</f>
        <v>11</v>
      </c>
      <c r="U11" s="53">
        <f>S11-'Thang 12'!AG12</f>
        <v>-48</v>
      </c>
      <c r="V11" s="53">
        <f t="shared" si="3"/>
        <v>348.82605000000012</v>
      </c>
      <c r="W11" s="61">
        <f t="shared" si="4"/>
        <v>68.766304296000243</v>
      </c>
      <c r="X11" s="28"/>
      <c r="Y11" s="35"/>
      <c r="Z11" s="10"/>
      <c r="AA11" s="10"/>
      <c r="AC11" s="10"/>
    </row>
    <row r="12" spans="1:29" ht="18" customHeight="1" outlineLevel="1" x14ac:dyDescent="0.3">
      <c r="A12" s="26">
        <v>4</v>
      </c>
      <c r="B12" s="27" t="s">
        <v>13</v>
      </c>
      <c r="C12" s="71">
        <v>51742</v>
      </c>
      <c r="D12" s="72">
        <v>51742</v>
      </c>
      <c r="E12" s="29">
        <f t="shared" si="0"/>
        <v>100</v>
      </c>
      <c r="F12" s="59">
        <v>1151</v>
      </c>
      <c r="G12" s="30">
        <v>1179</v>
      </c>
      <c r="H12" s="31">
        <f>G12-'Thang 4'!G12</f>
        <v>29</v>
      </c>
      <c r="I12" s="31">
        <f>G12-'Thang 12'!Q13</f>
        <v>78</v>
      </c>
      <c r="J12" s="31">
        <f t="shared" si="1"/>
        <v>-28</v>
      </c>
      <c r="K12" s="61">
        <f t="shared" si="2"/>
        <v>102.43266724587315</v>
      </c>
      <c r="L12" s="31">
        <v>978</v>
      </c>
      <c r="M12" s="30">
        <v>998</v>
      </c>
      <c r="N12" s="53">
        <f>M12-'Thang 4'!M12</f>
        <v>36</v>
      </c>
      <c r="O12" s="53">
        <f>M12-'Thang 12'!Y13</f>
        <v>88</v>
      </c>
      <c r="P12" s="53">
        <f t="shared" si="5"/>
        <v>-20</v>
      </c>
      <c r="Q12" s="70">
        <f t="shared" si="6"/>
        <v>102.04498977505112</v>
      </c>
      <c r="R12" s="31">
        <v>2043.0157000000004</v>
      </c>
      <c r="S12" s="31">
        <v>1550</v>
      </c>
      <c r="T12" s="53">
        <f>S12-'Thang 4'!S12</f>
        <v>71</v>
      </c>
      <c r="U12" s="53">
        <f>S12-'Thang 12'!AG13</f>
        <v>99</v>
      </c>
      <c r="V12" s="53">
        <f t="shared" si="3"/>
        <v>493.01570000000038</v>
      </c>
      <c r="W12" s="61">
        <f t="shared" si="4"/>
        <v>75.868237331705274</v>
      </c>
      <c r="X12" s="28"/>
      <c r="Y12" s="35"/>
      <c r="Z12" s="10"/>
      <c r="AA12" s="10"/>
      <c r="AC12" s="10"/>
    </row>
    <row r="13" spans="1:29" ht="18" customHeight="1" outlineLevel="1" x14ac:dyDescent="0.3">
      <c r="A13" s="26">
        <v>5</v>
      </c>
      <c r="B13" s="38" t="s">
        <v>24</v>
      </c>
      <c r="C13" s="71">
        <v>27773</v>
      </c>
      <c r="D13" s="72">
        <v>27773</v>
      </c>
      <c r="E13" s="29">
        <f t="shared" si="0"/>
        <v>100</v>
      </c>
      <c r="F13" s="59">
        <v>1205.5999999999999</v>
      </c>
      <c r="G13" s="30">
        <v>1015</v>
      </c>
      <c r="H13" s="31">
        <f>G13-'Thang 4'!G13</f>
        <v>-1</v>
      </c>
      <c r="I13" s="31">
        <f>G13-'Thang 12'!Q14</f>
        <v>7</v>
      </c>
      <c r="J13" s="31">
        <f t="shared" si="1"/>
        <v>190.59999999999991</v>
      </c>
      <c r="K13" s="61">
        <f t="shared" si="2"/>
        <v>84.190444591904452</v>
      </c>
      <c r="L13" s="31">
        <v>1005.4</v>
      </c>
      <c r="M13" s="54">
        <v>865</v>
      </c>
      <c r="N13" s="53">
        <f>M13-'Thang 4'!M13</f>
        <v>2</v>
      </c>
      <c r="O13" s="53">
        <f>M13-'Thang 12'!Y14</f>
        <v>-49</v>
      </c>
      <c r="P13" s="53">
        <f t="shared" si="5"/>
        <v>140.39999999999998</v>
      </c>
      <c r="Q13" s="70">
        <f t="shared" si="6"/>
        <v>86.0354087925204</v>
      </c>
      <c r="R13" s="31">
        <v>1203.95955</v>
      </c>
      <c r="S13" s="54">
        <v>952</v>
      </c>
      <c r="T13" s="53">
        <f>S13-'Thang 4'!S13</f>
        <v>31</v>
      </c>
      <c r="U13" s="53">
        <f>S13-'Thang 12'!AG14</f>
        <v>-55</v>
      </c>
      <c r="V13" s="53">
        <f t="shared" si="3"/>
        <v>251.95955000000004</v>
      </c>
      <c r="W13" s="61">
        <f t="shared" si="4"/>
        <v>79.072423986337412</v>
      </c>
      <c r="X13" s="28"/>
      <c r="Y13" s="35"/>
      <c r="Z13" s="10"/>
      <c r="AA13" s="10"/>
      <c r="AC13" s="10"/>
    </row>
    <row r="14" spans="1:29" ht="18" customHeight="1" outlineLevel="1" x14ac:dyDescent="0.3">
      <c r="A14" s="26">
        <v>6</v>
      </c>
      <c r="B14" s="38" t="s">
        <v>25</v>
      </c>
      <c r="C14" s="71">
        <v>28987</v>
      </c>
      <c r="D14" s="72">
        <v>28987</v>
      </c>
      <c r="E14" s="29">
        <f t="shared" si="0"/>
        <v>100</v>
      </c>
      <c r="F14" s="59">
        <v>591</v>
      </c>
      <c r="G14" s="30">
        <v>548</v>
      </c>
      <c r="H14" s="31">
        <f>G14-'Thang 4'!G14</f>
        <v>-3</v>
      </c>
      <c r="I14" s="31">
        <f>G14-'Thang 12'!Q15</f>
        <v>84</v>
      </c>
      <c r="J14" s="31">
        <f t="shared" si="1"/>
        <v>43</v>
      </c>
      <c r="K14" s="61">
        <f t="shared" si="2"/>
        <v>92.724196277495778</v>
      </c>
      <c r="L14" s="31">
        <v>446.88</v>
      </c>
      <c r="M14" s="54">
        <v>407</v>
      </c>
      <c r="N14" s="53">
        <f>M14-'Thang 4'!M14</f>
        <v>-3</v>
      </c>
      <c r="O14" s="53">
        <f>M14-'Thang 12'!Y15</f>
        <v>35</v>
      </c>
      <c r="P14" s="53">
        <f t="shared" si="5"/>
        <v>39.879999999999995</v>
      </c>
      <c r="Q14" s="70">
        <f t="shared" si="6"/>
        <v>91.075904045828864</v>
      </c>
      <c r="R14" s="31">
        <v>1256.5864500000002</v>
      </c>
      <c r="S14" s="54">
        <v>934</v>
      </c>
      <c r="T14" s="53">
        <f>S14-'Thang 4'!S14</f>
        <v>33</v>
      </c>
      <c r="U14" s="53">
        <f>S14-'Thang 12'!AG15</f>
        <v>-46</v>
      </c>
      <c r="V14" s="53">
        <f t="shared" si="3"/>
        <v>322.58645000000024</v>
      </c>
      <c r="W14" s="61">
        <f t="shared" si="4"/>
        <v>74.32835202066677</v>
      </c>
      <c r="X14" s="28"/>
      <c r="Y14" s="35"/>
      <c r="Z14" s="10"/>
      <c r="AA14" s="10"/>
      <c r="AC14" s="10"/>
    </row>
    <row r="15" spans="1:29" ht="18" customHeight="1" outlineLevel="1" x14ac:dyDescent="0.3">
      <c r="A15" s="26">
        <v>7</v>
      </c>
      <c r="B15" s="38" t="s">
        <v>26</v>
      </c>
      <c r="C15" s="71">
        <v>24726</v>
      </c>
      <c r="D15" s="72">
        <v>24221</v>
      </c>
      <c r="E15" s="29">
        <v>98.38</v>
      </c>
      <c r="F15" s="59">
        <v>541</v>
      </c>
      <c r="G15" s="30">
        <v>546</v>
      </c>
      <c r="H15" s="31">
        <f>G15-'Thang 4'!G15</f>
        <v>6</v>
      </c>
      <c r="I15" s="31">
        <f>G15-'Thang 12'!Q16</f>
        <v>85</v>
      </c>
      <c r="J15" s="31">
        <f t="shared" si="1"/>
        <v>-5</v>
      </c>
      <c r="K15" s="61">
        <f t="shared" si="2"/>
        <v>100.92421441774491</v>
      </c>
      <c r="L15" s="31">
        <v>439.04</v>
      </c>
      <c r="M15" s="54">
        <v>434</v>
      </c>
      <c r="N15" s="53">
        <f>M15-'Thang 4'!M15</f>
        <v>4</v>
      </c>
      <c r="O15" s="53">
        <f>M15-'Thang 12'!Y16</f>
        <v>51</v>
      </c>
      <c r="P15" s="53">
        <f t="shared" si="5"/>
        <v>5.0400000000000205</v>
      </c>
      <c r="Q15" s="70">
        <f t="shared" si="6"/>
        <v>98.852040816326522</v>
      </c>
      <c r="R15" s="31">
        <v>1071.8721</v>
      </c>
      <c r="S15" s="54">
        <v>1039</v>
      </c>
      <c r="T15" s="53">
        <f>S15-'Thang 4'!S15</f>
        <v>129</v>
      </c>
      <c r="U15" s="53">
        <f>S15-'Thang 12'!AG16</f>
        <v>-1</v>
      </c>
      <c r="V15" s="53">
        <f t="shared" si="3"/>
        <v>32.872100000000046</v>
      </c>
      <c r="W15" s="61">
        <f t="shared" si="4"/>
        <v>96.933206863020317</v>
      </c>
      <c r="X15" s="28"/>
      <c r="Y15" s="35"/>
      <c r="Z15" s="10"/>
      <c r="AA15" s="10"/>
      <c r="AC15" s="10"/>
    </row>
    <row r="16" spans="1:29" s="16" customFormat="1" ht="18" customHeight="1" x14ac:dyDescent="0.3">
      <c r="A16" s="112" t="s">
        <v>1</v>
      </c>
      <c r="B16" s="112"/>
      <c r="C16" s="18">
        <f>SUM(C9:C15)</f>
        <v>228291</v>
      </c>
      <c r="D16" s="18">
        <f>SUM(D9:D15)</f>
        <v>227786</v>
      </c>
      <c r="E16" s="32">
        <f t="shared" si="0"/>
        <v>99.778791104336122</v>
      </c>
      <c r="F16" s="60">
        <f>SUM(F9:F15)</f>
        <v>6580.9</v>
      </c>
      <c r="G16" s="50">
        <f>SUM(G9:G15)</f>
        <v>6005</v>
      </c>
      <c r="H16" s="31">
        <f>G16-'Thang 4'!G16</f>
        <v>88</v>
      </c>
      <c r="I16" s="55">
        <f>G16-'Thang 12'!Q17</f>
        <v>293</v>
      </c>
      <c r="J16" s="55">
        <f>SUM(J9:J15)</f>
        <v>575.89999999999986</v>
      </c>
      <c r="K16" s="57">
        <f t="shared" si="2"/>
        <v>91.248917321339036</v>
      </c>
      <c r="L16" s="18">
        <f>SUM(L9:L15)</f>
        <v>5516.07</v>
      </c>
      <c r="M16" s="18">
        <f>SUM(M9:M15)</f>
        <v>4980</v>
      </c>
      <c r="N16" s="53">
        <f>M16-'Thang 4'!M16</f>
        <v>109</v>
      </c>
      <c r="O16" s="56">
        <f>M16-'Thang 12'!Y17</f>
        <v>209</v>
      </c>
      <c r="P16" s="18">
        <f t="shared" ref="P16" si="7">SUM(P9:P15)</f>
        <v>536.06999999999994</v>
      </c>
      <c r="Q16" s="69">
        <f t="shared" si="6"/>
        <v>90.281667926621679</v>
      </c>
      <c r="R16" s="55">
        <f>SUM(R9:R15)</f>
        <v>9851.414850000001</v>
      </c>
      <c r="S16" s="18">
        <f>SUM(S9:S15)</f>
        <v>7444</v>
      </c>
      <c r="T16" s="53">
        <f>S16-'Thang 4'!S16</f>
        <v>272</v>
      </c>
      <c r="U16" s="56">
        <f>S16-'Thang 12'!AG17</f>
        <v>-110</v>
      </c>
      <c r="V16" s="56">
        <f>SUM(V9:V15)</f>
        <v>2407.414850000001</v>
      </c>
      <c r="W16" s="57">
        <f t="shared" si="4"/>
        <v>75.562750258151993</v>
      </c>
      <c r="X16" s="37"/>
      <c r="Y16" s="36"/>
      <c r="Z16" s="10"/>
      <c r="AA16" s="25"/>
    </row>
    <row r="17" spans="1:25" ht="9.6" customHeight="1" x14ac:dyDescent="0.35">
      <c r="A17" s="11"/>
      <c r="B17" s="76"/>
      <c r="C17" s="12"/>
      <c r="D17" s="12"/>
      <c r="E17" s="12"/>
      <c r="F17" s="13"/>
      <c r="G17" s="14"/>
      <c r="H17" s="13"/>
      <c r="I17" s="13"/>
      <c r="J17" s="13"/>
      <c r="K17" s="13"/>
      <c r="L17" s="13"/>
      <c r="M17" s="14"/>
      <c r="N17" s="13"/>
      <c r="O17" s="13"/>
      <c r="P17" s="13"/>
      <c r="Q17" s="13"/>
      <c r="R17" s="13"/>
      <c r="S17" s="14"/>
      <c r="T17" s="13"/>
      <c r="U17" s="13"/>
      <c r="V17" s="13"/>
      <c r="W17" s="13"/>
      <c r="X17" s="15"/>
      <c r="Y17" s="15"/>
    </row>
    <row r="18" spans="1:25" ht="21.6" customHeight="1" x14ac:dyDescent="0.3">
      <c r="A18" s="11"/>
      <c r="B18" s="113" t="s">
        <v>22</v>
      </c>
      <c r="C18" s="113"/>
      <c r="D18" s="113"/>
      <c r="E18" s="113"/>
      <c r="F18" s="113"/>
      <c r="G18" s="78"/>
      <c r="H18" s="19"/>
      <c r="I18" s="19"/>
      <c r="J18" s="19"/>
      <c r="K18" s="19"/>
      <c r="L18" s="19"/>
      <c r="M18" s="19"/>
      <c r="N18" s="33"/>
      <c r="O18" s="33"/>
      <c r="P18" s="33"/>
      <c r="Q18" s="33"/>
      <c r="R18" s="33"/>
      <c r="S18" s="19"/>
      <c r="T18" s="19"/>
      <c r="U18" s="19"/>
      <c r="V18" s="19"/>
      <c r="W18" s="19"/>
      <c r="X18" s="19"/>
      <c r="Y18" s="19"/>
    </row>
    <row r="19" spans="1:25" ht="18" x14ac:dyDescent="0.35">
      <c r="B19" s="110"/>
      <c r="C19" s="110"/>
      <c r="D19" s="110"/>
      <c r="E19" s="110"/>
      <c r="F19" s="110"/>
      <c r="G19" s="110"/>
      <c r="H19" s="76"/>
      <c r="I19" s="76"/>
      <c r="J19" s="76"/>
      <c r="K19" s="76"/>
      <c r="L19" s="76"/>
      <c r="M19" s="3"/>
      <c r="N19" s="3"/>
      <c r="O19" s="3"/>
      <c r="P19" s="3"/>
      <c r="Q19" s="3"/>
      <c r="R19" s="3"/>
      <c r="S19" s="80"/>
      <c r="T19" s="3"/>
      <c r="U19" s="3"/>
      <c r="V19" s="3"/>
      <c r="W19" s="3"/>
    </row>
    <row r="20" spans="1:25" ht="17.399999999999999" x14ac:dyDescent="0.3">
      <c r="B20" s="5" t="s">
        <v>4</v>
      </c>
      <c r="C20" s="5"/>
      <c r="D20" s="111"/>
      <c r="E20" s="111"/>
      <c r="F20" s="77"/>
      <c r="G20" s="2"/>
      <c r="H20" s="2"/>
      <c r="I20" s="2"/>
      <c r="J20" s="2"/>
      <c r="K20" s="2"/>
      <c r="L20" s="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5" ht="17.399999999999999" x14ac:dyDescent="0.3">
      <c r="B21" s="2"/>
      <c r="C21" s="2"/>
      <c r="D21" s="9"/>
      <c r="E21" s="9"/>
      <c r="F21" s="77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5" ht="17.399999999999999" x14ac:dyDescent="0.3">
      <c r="B22" s="5"/>
      <c r="C22" s="5"/>
      <c r="D22" s="5"/>
      <c r="E22" s="5"/>
      <c r="F22" s="5"/>
      <c r="G22" s="2"/>
      <c r="H22" s="2"/>
      <c r="I22" s="2"/>
      <c r="J22" s="2"/>
      <c r="K22" s="2"/>
      <c r="L22" s="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5" ht="17.399999999999999" x14ac:dyDescent="0.3">
      <c r="B23" s="5"/>
    </row>
    <row r="24" spans="1:25" ht="17.399999999999999" x14ac:dyDescent="0.3">
      <c r="B24" s="5"/>
    </row>
    <row r="25" spans="1:25" ht="17.399999999999999" x14ac:dyDescent="0.3">
      <c r="B25" s="5" t="s">
        <v>5</v>
      </c>
    </row>
  </sheetData>
  <mergeCells count="17">
    <mergeCell ref="X7:X8"/>
    <mergeCell ref="A16:B16"/>
    <mergeCell ref="B18:F18"/>
    <mergeCell ref="B19:G19"/>
    <mergeCell ref="D20:E20"/>
    <mergeCell ref="A7:A8"/>
    <mergeCell ref="B7:B8"/>
    <mergeCell ref="C7:E7"/>
    <mergeCell ref="F7:K7"/>
    <mergeCell ref="L7:Q7"/>
    <mergeCell ref="R7:W7"/>
    <mergeCell ref="A5:X5"/>
    <mergeCell ref="A1:D1"/>
    <mergeCell ref="H1:X1"/>
    <mergeCell ref="A2:D2"/>
    <mergeCell ref="H2:X2"/>
    <mergeCell ref="A3:C3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F4" workbookViewId="0">
      <selection activeCell="Y9" sqref="Y9:Y15"/>
    </sheetView>
  </sheetViews>
  <sheetFormatPr defaultRowHeight="14.4" outlineLevelRow="1" outlineLevelCol="1" x14ac:dyDescent="0.3"/>
  <cols>
    <col min="1" max="1" width="5.88671875" customWidth="1"/>
    <col min="2" max="2" width="19.33203125" customWidth="1"/>
    <col min="3" max="4" width="13.5546875" customWidth="1" outlineLevel="1"/>
    <col min="5" max="5" width="10.88671875" customWidth="1" outlineLevel="1"/>
    <col min="6" max="6" width="9" customWidth="1"/>
    <col min="7" max="7" width="12.109375" customWidth="1" outlineLevel="1"/>
    <col min="8" max="10" width="10.33203125" customWidth="1"/>
    <col min="11" max="11" width="8.88671875" customWidth="1"/>
    <col min="12" max="12" width="9.21875" customWidth="1"/>
    <col min="13" max="13" width="11.109375" customWidth="1" outlineLevel="1"/>
    <col min="14" max="17" width="8.6640625" customWidth="1"/>
    <col min="18" max="18" width="8" customWidth="1"/>
    <col min="19" max="19" width="11.5546875" customWidth="1" outlineLevel="1"/>
    <col min="20" max="23" width="8.6640625" customWidth="1"/>
    <col min="24" max="24" width="6.88671875" customWidth="1"/>
    <col min="25" max="25" width="9.44140625" customWidth="1"/>
  </cols>
  <sheetData>
    <row r="1" spans="1:29" ht="17.25" customHeight="1" x14ac:dyDescent="0.3">
      <c r="A1" s="118" t="s">
        <v>41</v>
      </c>
      <c r="B1" s="118"/>
      <c r="C1" s="118"/>
      <c r="D1" s="118"/>
      <c r="E1" s="85"/>
      <c r="F1" s="8"/>
      <c r="G1" s="8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7"/>
      <c r="Y1" s="85"/>
    </row>
    <row r="2" spans="1:29" ht="16.8" customHeight="1" x14ac:dyDescent="0.3">
      <c r="A2" s="119" t="s">
        <v>42</v>
      </c>
      <c r="B2" s="119"/>
      <c r="C2" s="119"/>
      <c r="D2" s="119"/>
      <c r="E2" s="85"/>
      <c r="F2" s="8"/>
      <c r="G2" s="8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17"/>
      <c r="Y2" s="85"/>
    </row>
    <row r="3" spans="1:29" ht="15.75" customHeight="1" x14ac:dyDescent="0.3">
      <c r="A3" s="119"/>
      <c r="B3" s="117"/>
      <c r="C3" s="117"/>
      <c r="D3" s="85"/>
      <c r="E3" s="85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"/>
      <c r="T3" s="1"/>
      <c r="U3" s="1"/>
      <c r="V3" s="1"/>
      <c r="W3" s="1"/>
      <c r="X3" s="1"/>
      <c r="Y3" s="1"/>
    </row>
    <row r="4" spans="1:29" ht="12" customHeight="1" x14ac:dyDescent="0.3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5"/>
      <c r="T4" s="85"/>
      <c r="U4" s="85"/>
      <c r="V4" s="85"/>
      <c r="W4" s="85"/>
      <c r="X4" s="85"/>
      <c r="Y4" s="85"/>
    </row>
    <row r="5" spans="1:29" ht="19.5" customHeight="1" x14ac:dyDescent="0.3">
      <c r="A5" s="116" t="s">
        <v>52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7"/>
      <c r="T5" s="117"/>
      <c r="U5" s="117"/>
      <c r="V5" s="117"/>
      <c r="W5" s="117"/>
      <c r="X5" s="117"/>
      <c r="Y5" s="85"/>
    </row>
    <row r="6" spans="1:29" ht="17.25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7" t="s">
        <v>16</v>
      </c>
      <c r="Y6" s="7"/>
    </row>
    <row r="7" spans="1:29" ht="31.2" customHeight="1" x14ac:dyDescent="0.3">
      <c r="A7" s="125" t="s">
        <v>0</v>
      </c>
      <c r="B7" s="125" t="s">
        <v>12</v>
      </c>
      <c r="C7" s="128" t="s">
        <v>31</v>
      </c>
      <c r="D7" s="128"/>
      <c r="E7" s="128"/>
      <c r="F7" s="123" t="s">
        <v>10</v>
      </c>
      <c r="G7" s="124"/>
      <c r="H7" s="124"/>
      <c r="I7" s="124"/>
      <c r="J7" s="124"/>
      <c r="K7" s="129"/>
      <c r="L7" s="123" t="s">
        <v>9</v>
      </c>
      <c r="M7" s="124"/>
      <c r="N7" s="124"/>
      <c r="O7" s="124"/>
      <c r="P7" s="124"/>
      <c r="Q7" s="129"/>
      <c r="R7" s="123" t="s">
        <v>11</v>
      </c>
      <c r="S7" s="124"/>
      <c r="T7" s="124"/>
      <c r="U7" s="124"/>
      <c r="V7" s="124"/>
      <c r="W7" s="129"/>
      <c r="X7" s="114" t="s">
        <v>8</v>
      </c>
      <c r="Y7" s="34"/>
    </row>
    <row r="8" spans="1:29" ht="70.2" customHeight="1" x14ac:dyDescent="0.3">
      <c r="A8" s="126"/>
      <c r="B8" s="126"/>
      <c r="C8" s="86" t="s">
        <v>27</v>
      </c>
      <c r="D8" s="83" t="s">
        <v>51</v>
      </c>
      <c r="E8" s="43" t="s">
        <v>17</v>
      </c>
      <c r="F8" s="83" t="s">
        <v>33</v>
      </c>
      <c r="G8" s="83" t="s">
        <v>51</v>
      </c>
      <c r="H8" s="83" t="s">
        <v>30</v>
      </c>
      <c r="I8" s="83" t="s">
        <v>46</v>
      </c>
      <c r="J8" s="83" t="s">
        <v>34</v>
      </c>
      <c r="K8" s="43" t="s">
        <v>17</v>
      </c>
      <c r="L8" s="83" t="s">
        <v>33</v>
      </c>
      <c r="M8" s="83" t="s">
        <v>51</v>
      </c>
      <c r="N8" s="83" t="s">
        <v>30</v>
      </c>
      <c r="O8" s="83" t="s">
        <v>46</v>
      </c>
      <c r="P8" s="83" t="s">
        <v>34</v>
      </c>
      <c r="Q8" s="43" t="s">
        <v>17</v>
      </c>
      <c r="R8" s="83" t="s">
        <v>33</v>
      </c>
      <c r="S8" s="83" t="s">
        <v>51</v>
      </c>
      <c r="T8" s="83" t="s">
        <v>30</v>
      </c>
      <c r="U8" s="83" t="s">
        <v>46</v>
      </c>
      <c r="V8" s="83" t="s">
        <v>34</v>
      </c>
      <c r="W8" s="43" t="s">
        <v>17</v>
      </c>
      <c r="X8" s="115"/>
      <c r="Y8" s="34"/>
      <c r="Z8" s="34"/>
    </row>
    <row r="9" spans="1:29" ht="18" customHeight="1" outlineLevel="1" x14ac:dyDescent="0.3">
      <c r="A9" s="26">
        <v>1</v>
      </c>
      <c r="B9" s="27" t="s">
        <v>23</v>
      </c>
      <c r="C9" s="71">
        <v>39379</v>
      </c>
      <c r="D9" s="72">
        <v>39379</v>
      </c>
      <c r="E9" s="29">
        <f t="shared" ref="E9:E16" si="0">D9/C9*100</f>
        <v>100</v>
      </c>
      <c r="F9" s="59">
        <v>1625</v>
      </c>
      <c r="G9" s="30">
        <v>1575</v>
      </c>
      <c r="H9" s="31">
        <f>G9-'Thang 5'!G9</f>
        <v>-32</v>
      </c>
      <c r="I9" s="31">
        <f>G9-'Thang 12'!Q10</f>
        <v>-77</v>
      </c>
      <c r="J9" s="31">
        <f t="shared" ref="J9:J15" si="1">F9-G9</f>
        <v>50</v>
      </c>
      <c r="K9" s="61">
        <f t="shared" ref="K9:K16" si="2">G9/F9*100</f>
        <v>96.92307692307692</v>
      </c>
      <c r="L9" s="31">
        <v>1420.25</v>
      </c>
      <c r="M9" s="30">
        <v>1393</v>
      </c>
      <c r="N9" s="53">
        <f>M9-'Thang 5'!M9</f>
        <v>-23</v>
      </c>
      <c r="O9" s="53">
        <f>M9-'Thang 12'!Y10</f>
        <v>-52</v>
      </c>
      <c r="P9" s="53">
        <f>L9-M9</f>
        <v>27.25</v>
      </c>
      <c r="Q9" s="70">
        <f>M9/L9*100</f>
        <v>98.081323710614328</v>
      </c>
      <c r="R9" s="31">
        <v>1862.0796500000001</v>
      </c>
      <c r="S9" s="31">
        <v>1606</v>
      </c>
      <c r="T9" s="53">
        <f>S9-'Thang 5'!S9</f>
        <v>14</v>
      </c>
      <c r="U9" s="53">
        <f>S9-'Thang 12'!AG10</f>
        <v>-64</v>
      </c>
      <c r="V9" s="53">
        <f t="shared" ref="V9:V15" si="3">R9-S9</f>
        <v>256.07965000000013</v>
      </c>
      <c r="W9" s="61">
        <f t="shared" ref="W9:W16" si="4">S9/R9*100</f>
        <v>86.247653262308077</v>
      </c>
      <c r="X9" s="28"/>
      <c r="Y9" s="35"/>
      <c r="Z9" s="10"/>
      <c r="AA9" s="10"/>
      <c r="AC9" s="10"/>
    </row>
    <row r="10" spans="1:29" ht="18" customHeight="1" outlineLevel="1" x14ac:dyDescent="0.3">
      <c r="A10" s="26">
        <v>2</v>
      </c>
      <c r="B10" s="27" t="s">
        <v>14</v>
      </c>
      <c r="C10" s="71">
        <v>29921</v>
      </c>
      <c r="D10" s="72">
        <v>29921</v>
      </c>
      <c r="E10" s="29">
        <f t="shared" si="0"/>
        <v>100</v>
      </c>
      <c r="F10" s="59">
        <v>815</v>
      </c>
      <c r="G10" s="30">
        <v>509</v>
      </c>
      <c r="H10" s="31">
        <f>G10-'Thang 5'!G10</f>
        <v>-32</v>
      </c>
      <c r="I10" s="31">
        <f>G10-'Thang 12'!Q11</f>
        <v>22</v>
      </c>
      <c r="J10" s="31">
        <f t="shared" si="1"/>
        <v>306</v>
      </c>
      <c r="K10" s="61">
        <f t="shared" si="2"/>
        <v>62.453987730061343</v>
      </c>
      <c r="L10" s="31">
        <v>661.1</v>
      </c>
      <c r="M10" s="30">
        <v>390</v>
      </c>
      <c r="N10" s="53">
        <f>M10-'Thang 5'!M10</f>
        <v>-22</v>
      </c>
      <c r="O10" s="53">
        <f>M10-'Thang 12'!Y11</f>
        <v>40</v>
      </c>
      <c r="P10" s="53">
        <f t="shared" ref="P10:P15" si="5">L10-M10</f>
        <v>271.10000000000002</v>
      </c>
      <c r="Q10" s="70">
        <f t="shared" ref="Q10:Q16" si="6">M10/L10*100</f>
        <v>58.992588110724554</v>
      </c>
      <c r="R10" s="31">
        <v>1297.0753500000001</v>
      </c>
      <c r="S10" s="31">
        <v>614</v>
      </c>
      <c r="T10" s="53">
        <f>S10-'Thang 5'!S10</f>
        <v>5</v>
      </c>
      <c r="U10" s="53">
        <f>S10-'Thang 12'!AG11</f>
        <v>24</v>
      </c>
      <c r="V10" s="53">
        <f t="shared" si="3"/>
        <v>683.07535000000007</v>
      </c>
      <c r="W10" s="61">
        <f t="shared" si="4"/>
        <v>47.337265333120385</v>
      </c>
      <c r="X10" s="28"/>
      <c r="Y10" s="35"/>
      <c r="Z10" s="10"/>
      <c r="AA10" s="10"/>
      <c r="AC10" s="10"/>
    </row>
    <row r="11" spans="1:29" ht="18" customHeight="1" outlineLevel="1" x14ac:dyDescent="0.3">
      <c r="A11" s="26">
        <v>3</v>
      </c>
      <c r="B11" s="27" t="s">
        <v>15</v>
      </c>
      <c r="C11" s="71">
        <v>25763</v>
      </c>
      <c r="D11" s="72">
        <v>25763</v>
      </c>
      <c r="E11" s="29">
        <f t="shared" si="0"/>
        <v>100</v>
      </c>
      <c r="F11" s="59">
        <v>652.29999999999995</v>
      </c>
      <c r="G11" s="30">
        <v>548</v>
      </c>
      <c r="H11" s="31">
        <f>G11-'Thang 5'!G11</f>
        <v>-21</v>
      </c>
      <c r="I11" s="31">
        <f>G11-'Thang 12'!Q12</f>
        <v>9</v>
      </c>
      <c r="J11" s="31">
        <f t="shared" si="1"/>
        <v>104.29999999999995</v>
      </c>
      <c r="K11" s="61">
        <f t="shared" si="2"/>
        <v>84.010424651234104</v>
      </c>
      <c r="L11" s="31">
        <v>565.4</v>
      </c>
      <c r="M11" s="30">
        <v>434</v>
      </c>
      <c r="N11" s="53">
        <f>M11-'Thang 5'!M11</f>
        <v>-14</v>
      </c>
      <c r="O11" s="53">
        <f>M11-'Thang 12'!Y12</f>
        <v>37</v>
      </c>
      <c r="P11" s="53">
        <f t="shared" si="5"/>
        <v>131.39999999999998</v>
      </c>
      <c r="Q11" s="70">
        <f t="shared" si="6"/>
        <v>76.759816059426953</v>
      </c>
      <c r="R11" s="31">
        <v>1116.8260500000001</v>
      </c>
      <c r="S11" s="31">
        <v>777</v>
      </c>
      <c r="T11" s="53">
        <f>S11-'Thang 5'!S11</f>
        <v>9</v>
      </c>
      <c r="U11" s="53">
        <f>S11-'Thang 12'!AG12</f>
        <v>-39</v>
      </c>
      <c r="V11" s="53">
        <f t="shared" si="3"/>
        <v>339.82605000000012</v>
      </c>
      <c r="W11" s="61">
        <f t="shared" si="4"/>
        <v>69.572159424469007</v>
      </c>
      <c r="X11" s="28"/>
      <c r="Y11" s="35"/>
      <c r="Z11" s="10"/>
      <c r="AA11" s="10"/>
      <c r="AC11" s="10"/>
    </row>
    <row r="12" spans="1:29" ht="18" customHeight="1" outlineLevel="1" x14ac:dyDescent="0.3">
      <c r="A12" s="26">
        <v>4</v>
      </c>
      <c r="B12" s="27" t="s">
        <v>13</v>
      </c>
      <c r="C12" s="71">
        <v>51742</v>
      </c>
      <c r="D12" s="72">
        <v>51742</v>
      </c>
      <c r="E12" s="29">
        <f t="shared" si="0"/>
        <v>100</v>
      </c>
      <c r="F12" s="59">
        <v>1151</v>
      </c>
      <c r="G12" s="30">
        <v>1150</v>
      </c>
      <c r="H12" s="31">
        <f>G12-'Thang 5'!G12</f>
        <v>-29</v>
      </c>
      <c r="I12" s="31">
        <f>G12-'Thang 12'!Q13</f>
        <v>49</v>
      </c>
      <c r="J12" s="31">
        <f t="shared" si="1"/>
        <v>1</v>
      </c>
      <c r="K12" s="61">
        <f t="shared" si="2"/>
        <v>99.913119026933103</v>
      </c>
      <c r="L12" s="31">
        <v>978</v>
      </c>
      <c r="M12" s="30">
        <v>993</v>
      </c>
      <c r="N12" s="53">
        <f>M12-'Thang 5'!M12</f>
        <v>-5</v>
      </c>
      <c r="O12" s="53">
        <f>M12-'Thang 12'!Y13</f>
        <v>83</v>
      </c>
      <c r="P12" s="53">
        <f t="shared" si="5"/>
        <v>-15</v>
      </c>
      <c r="Q12" s="70">
        <f t="shared" si="6"/>
        <v>101.53374233128834</v>
      </c>
      <c r="R12" s="31">
        <v>2043.0157000000004</v>
      </c>
      <c r="S12" s="31">
        <v>1569</v>
      </c>
      <c r="T12" s="53">
        <f>S12-'Thang 5'!S12</f>
        <v>19</v>
      </c>
      <c r="U12" s="53">
        <f>S12-'Thang 12'!AG13</f>
        <v>118</v>
      </c>
      <c r="V12" s="53">
        <f t="shared" si="3"/>
        <v>474.01570000000038</v>
      </c>
      <c r="W12" s="61">
        <f t="shared" si="4"/>
        <v>76.798235079642296</v>
      </c>
      <c r="X12" s="28"/>
      <c r="Y12" s="35"/>
      <c r="Z12" s="10"/>
      <c r="AA12" s="10"/>
      <c r="AC12" s="10"/>
    </row>
    <row r="13" spans="1:29" ht="18" customHeight="1" outlineLevel="1" x14ac:dyDescent="0.3">
      <c r="A13" s="26">
        <v>5</v>
      </c>
      <c r="B13" s="38" t="s">
        <v>24</v>
      </c>
      <c r="C13" s="71">
        <v>27773</v>
      </c>
      <c r="D13" s="72">
        <v>27773</v>
      </c>
      <c r="E13" s="29">
        <f t="shared" si="0"/>
        <v>100</v>
      </c>
      <c r="F13" s="59">
        <v>1205.5999999999999</v>
      </c>
      <c r="G13" s="30">
        <v>1008</v>
      </c>
      <c r="H13" s="31">
        <f>G13-'Thang 5'!G13</f>
        <v>-7</v>
      </c>
      <c r="I13" s="31">
        <f>G13-'Thang 12'!Q14</f>
        <v>0</v>
      </c>
      <c r="J13" s="31">
        <f t="shared" si="1"/>
        <v>197.59999999999991</v>
      </c>
      <c r="K13" s="61">
        <f t="shared" si="2"/>
        <v>83.609820836098208</v>
      </c>
      <c r="L13" s="31">
        <v>1005.4</v>
      </c>
      <c r="M13" s="54">
        <v>864</v>
      </c>
      <c r="N13" s="53">
        <f>M13-'Thang 5'!M13</f>
        <v>-1</v>
      </c>
      <c r="O13" s="53">
        <f>M13-'Thang 12'!Y14</f>
        <v>-50</v>
      </c>
      <c r="P13" s="53">
        <f t="shared" si="5"/>
        <v>141.39999999999998</v>
      </c>
      <c r="Q13" s="70">
        <f t="shared" si="6"/>
        <v>85.935945892182218</v>
      </c>
      <c r="R13" s="31">
        <v>1203.95955</v>
      </c>
      <c r="S13" s="54">
        <v>963</v>
      </c>
      <c r="T13" s="53">
        <f>S13-'Thang 5'!S13</f>
        <v>11</v>
      </c>
      <c r="U13" s="53">
        <f>S13-'Thang 12'!AG14</f>
        <v>-44</v>
      </c>
      <c r="V13" s="53">
        <f t="shared" si="3"/>
        <v>240.95955000000004</v>
      </c>
      <c r="W13" s="61">
        <f t="shared" si="4"/>
        <v>79.986075944162735</v>
      </c>
      <c r="X13" s="28"/>
      <c r="Y13" s="35"/>
      <c r="Z13" s="10"/>
      <c r="AA13" s="10"/>
      <c r="AC13" s="10"/>
    </row>
    <row r="14" spans="1:29" ht="18" customHeight="1" outlineLevel="1" x14ac:dyDescent="0.3">
      <c r="A14" s="26">
        <v>6</v>
      </c>
      <c r="B14" s="38" t="s">
        <v>25</v>
      </c>
      <c r="C14" s="71">
        <v>28987</v>
      </c>
      <c r="D14" s="72">
        <v>28987</v>
      </c>
      <c r="E14" s="29">
        <f t="shared" si="0"/>
        <v>100</v>
      </c>
      <c r="F14" s="59">
        <v>591</v>
      </c>
      <c r="G14" s="30">
        <v>539</v>
      </c>
      <c r="H14" s="31">
        <f>G14-'Thang 5'!G14</f>
        <v>-9</v>
      </c>
      <c r="I14" s="31">
        <f>G14-'Thang 12'!Q15</f>
        <v>75</v>
      </c>
      <c r="J14" s="31">
        <f t="shared" si="1"/>
        <v>52</v>
      </c>
      <c r="K14" s="61">
        <f t="shared" si="2"/>
        <v>91.20135363790186</v>
      </c>
      <c r="L14" s="31">
        <v>446.88</v>
      </c>
      <c r="M14" s="54">
        <v>417</v>
      </c>
      <c r="N14" s="53">
        <f>M14-'Thang 5'!M14</f>
        <v>10</v>
      </c>
      <c r="O14" s="53">
        <f>M14-'Thang 12'!Y15</f>
        <v>45</v>
      </c>
      <c r="P14" s="53">
        <f t="shared" si="5"/>
        <v>29.879999999999995</v>
      </c>
      <c r="Q14" s="70">
        <f t="shared" si="6"/>
        <v>93.313641245972079</v>
      </c>
      <c r="R14" s="31">
        <v>1256.5864500000002</v>
      </c>
      <c r="S14" s="54">
        <v>945</v>
      </c>
      <c r="T14" s="53">
        <f>S14-'Thang 5'!S14</f>
        <v>11</v>
      </c>
      <c r="U14" s="53">
        <f>S14-'Thang 12'!AG15</f>
        <v>-35</v>
      </c>
      <c r="V14" s="53">
        <f t="shared" si="3"/>
        <v>311.58645000000024</v>
      </c>
      <c r="W14" s="61">
        <f t="shared" si="4"/>
        <v>75.203739464164983</v>
      </c>
      <c r="X14" s="28"/>
      <c r="Y14" s="35"/>
      <c r="Z14" s="10"/>
      <c r="AA14" s="10"/>
      <c r="AC14" s="10"/>
    </row>
    <row r="15" spans="1:29" ht="18" customHeight="1" outlineLevel="1" x14ac:dyDescent="0.3">
      <c r="A15" s="26">
        <v>7</v>
      </c>
      <c r="B15" s="38" t="s">
        <v>26</v>
      </c>
      <c r="C15" s="71">
        <v>24726</v>
      </c>
      <c r="D15" s="72">
        <v>24726</v>
      </c>
      <c r="E15" s="29">
        <f t="shared" si="0"/>
        <v>100</v>
      </c>
      <c r="F15" s="59">
        <v>541</v>
      </c>
      <c r="G15" s="30">
        <v>547</v>
      </c>
      <c r="H15" s="31">
        <f>G15-'Thang 5'!G15</f>
        <v>1</v>
      </c>
      <c r="I15" s="31">
        <f>G15-'Thang 12'!Q16</f>
        <v>86</v>
      </c>
      <c r="J15" s="31">
        <f t="shared" si="1"/>
        <v>-6</v>
      </c>
      <c r="K15" s="61">
        <f t="shared" si="2"/>
        <v>101.10905730129389</v>
      </c>
      <c r="L15" s="31">
        <v>439.04</v>
      </c>
      <c r="M15" s="54">
        <v>441</v>
      </c>
      <c r="N15" s="53">
        <f>M15-'Thang 5'!M15</f>
        <v>7</v>
      </c>
      <c r="O15" s="53">
        <f>M15-'Thang 12'!Y16</f>
        <v>58</v>
      </c>
      <c r="P15" s="53">
        <f t="shared" si="5"/>
        <v>-1.9599999999999795</v>
      </c>
      <c r="Q15" s="70">
        <f t="shared" si="6"/>
        <v>100.44642857142856</v>
      </c>
      <c r="R15" s="31">
        <v>1071.8721</v>
      </c>
      <c r="S15" s="54">
        <v>1100</v>
      </c>
      <c r="T15" s="53">
        <f>S15-'Thang 5'!S15</f>
        <v>61</v>
      </c>
      <c r="U15" s="53">
        <f>S15-'Thang 12'!AG16</f>
        <v>60</v>
      </c>
      <c r="V15" s="53">
        <f t="shared" si="3"/>
        <v>-28.127899999999954</v>
      </c>
      <c r="W15" s="61">
        <f t="shared" si="4"/>
        <v>102.62418435930928</v>
      </c>
      <c r="X15" s="28"/>
      <c r="Y15" s="35"/>
      <c r="Z15" s="10"/>
      <c r="AA15" s="10"/>
      <c r="AC15" s="10"/>
    </row>
    <row r="16" spans="1:29" s="16" customFormat="1" ht="18" customHeight="1" x14ac:dyDescent="0.3">
      <c r="A16" s="112" t="s">
        <v>1</v>
      </c>
      <c r="B16" s="112"/>
      <c r="C16" s="18">
        <f>SUM(C9:C15)</f>
        <v>228291</v>
      </c>
      <c r="D16" s="18">
        <f>SUM(D9:D15)</f>
        <v>228291</v>
      </c>
      <c r="E16" s="32">
        <f t="shared" si="0"/>
        <v>100</v>
      </c>
      <c r="F16" s="60">
        <f>SUM(F9:F15)</f>
        <v>6580.9</v>
      </c>
      <c r="G16" s="50">
        <f>SUM(G9:G15)</f>
        <v>5876</v>
      </c>
      <c r="H16" s="55">
        <f>SUM(H9:H15)</f>
        <v>-129</v>
      </c>
      <c r="I16" s="55">
        <f>G16-'Thang 12'!Q17</f>
        <v>164</v>
      </c>
      <c r="J16" s="55">
        <f>SUM(J9:J15)</f>
        <v>704.89999999999986</v>
      </c>
      <c r="K16" s="57">
        <f t="shared" si="2"/>
        <v>89.28869911410294</v>
      </c>
      <c r="L16" s="18">
        <f>SUM(L9:L15)</f>
        <v>5516.07</v>
      </c>
      <c r="M16" s="18">
        <f>SUM(M9:M15)</f>
        <v>4932</v>
      </c>
      <c r="N16" s="56">
        <f>SUM(N9:N15)</f>
        <v>-48</v>
      </c>
      <c r="O16" s="56">
        <f>M16-'Thang 12'!Y17</f>
        <v>161</v>
      </c>
      <c r="P16" s="18">
        <f t="shared" ref="P16" si="7">SUM(P9:P15)</f>
        <v>584.06999999999994</v>
      </c>
      <c r="Q16" s="69">
        <f t="shared" si="6"/>
        <v>89.41148317552171</v>
      </c>
      <c r="R16" s="55">
        <f>SUM(R9:R15)</f>
        <v>9851.414850000001</v>
      </c>
      <c r="S16" s="18">
        <f>SUM(S9:S15)</f>
        <v>7574</v>
      </c>
      <c r="T16" s="56">
        <f>SUM(T9:T15)</f>
        <v>130</v>
      </c>
      <c r="U16" s="56">
        <f>S16-'Thang 12'!AG17</f>
        <v>20</v>
      </c>
      <c r="V16" s="56">
        <f>SUM(V9:V15)</f>
        <v>2277.414850000001</v>
      </c>
      <c r="W16" s="57">
        <f t="shared" si="4"/>
        <v>76.882357664594736</v>
      </c>
      <c r="X16" s="37"/>
      <c r="Y16" s="36"/>
      <c r="Z16" s="10"/>
      <c r="AA16" s="25"/>
    </row>
    <row r="17" spans="1:25" ht="9.6" customHeight="1" x14ac:dyDescent="0.35">
      <c r="A17" s="11"/>
      <c r="B17" s="81"/>
      <c r="C17" s="12"/>
      <c r="D17" s="12"/>
      <c r="E17" s="12"/>
      <c r="F17" s="13"/>
      <c r="G17" s="14"/>
      <c r="H17" s="13"/>
      <c r="I17" s="13"/>
      <c r="J17" s="13"/>
      <c r="K17" s="13"/>
      <c r="L17" s="13"/>
      <c r="M17" s="14"/>
      <c r="N17" s="13"/>
      <c r="O17" s="13"/>
      <c r="P17" s="13"/>
      <c r="Q17" s="13"/>
      <c r="R17" s="13"/>
      <c r="S17" s="14"/>
      <c r="T17" s="13"/>
      <c r="U17" s="13"/>
      <c r="V17" s="13"/>
      <c r="W17" s="13"/>
      <c r="X17" s="15"/>
      <c r="Y17" s="15"/>
    </row>
    <row r="18" spans="1:25" ht="21.6" customHeight="1" x14ac:dyDescent="0.3">
      <c r="A18" s="11"/>
      <c r="B18" s="113" t="s">
        <v>22</v>
      </c>
      <c r="C18" s="113"/>
      <c r="D18" s="113"/>
      <c r="E18" s="113"/>
      <c r="F18" s="113"/>
      <c r="G18" s="87"/>
      <c r="H18" s="19"/>
      <c r="I18" s="19"/>
      <c r="J18" s="19"/>
      <c r="K18" s="19"/>
      <c r="L18" s="19"/>
      <c r="M18" s="33">
        <f>4932-M16</f>
        <v>0</v>
      </c>
      <c r="N18" s="33"/>
      <c r="O18" s="33"/>
      <c r="P18" s="33"/>
      <c r="Q18" s="33"/>
      <c r="R18" s="33"/>
      <c r="S18" s="19"/>
      <c r="T18" s="19"/>
      <c r="U18" s="19"/>
      <c r="V18" s="19"/>
      <c r="W18" s="19"/>
      <c r="X18" s="19"/>
      <c r="Y18" s="19"/>
    </row>
    <row r="19" spans="1:25" ht="18" x14ac:dyDescent="0.35">
      <c r="B19" s="110"/>
      <c r="C19" s="110"/>
      <c r="D19" s="110"/>
      <c r="E19" s="110"/>
      <c r="F19" s="110"/>
      <c r="G19" s="110"/>
      <c r="H19" s="81"/>
      <c r="I19" s="81"/>
      <c r="J19" s="81"/>
      <c r="K19" s="81"/>
      <c r="L19" s="81"/>
      <c r="M19" s="3"/>
      <c r="N19" s="3"/>
      <c r="O19" s="3"/>
      <c r="P19" s="3"/>
      <c r="Q19" s="3"/>
      <c r="R19" s="3"/>
      <c r="S19" s="80"/>
      <c r="T19" s="3"/>
      <c r="U19" s="3"/>
      <c r="V19" s="3"/>
      <c r="W19" s="3"/>
    </row>
    <row r="20" spans="1:25" ht="17.399999999999999" x14ac:dyDescent="0.3">
      <c r="B20" s="5" t="s">
        <v>4</v>
      </c>
      <c r="C20" s="5"/>
      <c r="D20" s="111"/>
      <c r="E20" s="111"/>
      <c r="F20" s="82"/>
      <c r="G20" s="2"/>
      <c r="H20" s="2"/>
      <c r="I20" s="2"/>
      <c r="J20" s="2"/>
      <c r="K20" s="2"/>
      <c r="L20" s="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5" ht="17.399999999999999" x14ac:dyDescent="0.3">
      <c r="B21" s="2"/>
      <c r="C21" s="2"/>
      <c r="D21" s="9"/>
      <c r="E21" s="9"/>
      <c r="F21" s="82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5" ht="17.399999999999999" x14ac:dyDescent="0.3">
      <c r="B22" s="5"/>
      <c r="C22" s="5"/>
      <c r="D22" s="5"/>
      <c r="E22" s="5"/>
      <c r="F22" s="5"/>
      <c r="G22" s="2"/>
      <c r="H22" s="2"/>
      <c r="I22" s="2"/>
      <c r="J22" s="2"/>
      <c r="K22" s="2"/>
      <c r="L22" s="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5" ht="17.399999999999999" x14ac:dyDescent="0.3">
      <c r="B23" s="5"/>
    </row>
    <row r="24" spans="1:25" ht="17.399999999999999" x14ac:dyDescent="0.3">
      <c r="B24" s="5"/>
    </row>
    <row r="25" spans="1:25" ht="17.399999999999999" x14ac:dyDescent="0.3">
      <c r="B25" s="5" t="s">
        <v>5</v>
      </c>
    </row>
  </sheetData>
  <mergeCells count="17">
    <mergeCell ref="A5:X5"/>
    <mergeCell ref="A1:D1"/>
    <mergeCell ref="H1:X1"/>
    <mergeCell ref="A2:D2"/>
    <mergeCell ref="H2:X2"/>
    <mergeCell ref="A3:C3"/>
    <mergeCell ref="X7:X8"/>
    <mergeCell ref="A16:B16"/>
    <mergeCell ref="B18:F18"/>
    <mergeCell ref="B19:G19"/>
    <mergeCell ref="D20:E20"/>
    <mergeCell ref="A7:A8"/>
    <mergeCell ref="B7:B8"/>
    <mergeCell ref="C7:E7"/>
    <mergeCell ref="F7:K7"/>
    <mergeCell ref="L7:Q7"/>
    <mergeCell ref="R7:W7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25"/>
  <sheetViews>
    <sheetView tabSelected="1" topLeftCell="T1" zoomScale="85" zoomScaleNormal="85" workbookViewId="0">
      <selection activeCell="AN9" sqref="AN9"/>
    </sheetView>
  </sheetViews>
  <sheetFormatPr defaultRowHeight="14.4" outlineLevelRow="1" outlineLevelCol="1" x14ac:dyDescent="0.3"/>
  <cols>
    <col min="1" max="1" width="5.88671875" customWidth="1"/>
    <col min="2" max="2" width="19.33203125" customWidth="1"/>
    <col min="3" max="4" width="13.5546875" customWidth="1" outlineLevel="1"/>
    <col min="5" max="5" width="10.88671875" customWidth="1" outlineLevel="1"/>
    <col min="6" max="6" width="9" customWidth="1"/>
    <col min="7" max="7" width="12.109375" customWidth="1" outlineLevel="1"/>
    <col min="8" max="10" width="10.33203125" customWidth="1"/>
    <col min="11" max="11" width="8.88671875" customWidth="1"/>
    <col min="12" max="12" width="9.21875" customWidth="1"/>
    <col min="13" max="13" width="11.109375" customWidth="1" outlineLevel="1"/>
    <col min="14" max="17" width="8.6640625" customWidth="1"/>
    <col min="18" max="18" width="8" customWidth="1"/>
    <col min="19" max="19" width="11.5546875" customWidth="1" outlineLevel="1"/>
    <col min="20" max="23" width="8.6640625" customWidth="1"/>
    <col min="24" max="24" width="6.88671875" customWidth="1"/>
    <col min="25" max="25" width="17" customWidth="1"/>
    <col min="40" max="40" width="11.88671875" customWidth="1"/>
    <col min="41" max="41" width="11.33203125" customWidth="1"/>
    <col min="42" max="42" width="10.6640625" customWidth="1"/>
  </cols>
  <sheetData>
    <row r="1" spans="1:43" ht="17.25" customHeight="1" x14ac:dyDescent="0.3">
      <c r="A1" s="118" t="s">
        <v>41</v>
      </c>
      <c r="B1" s="118"/>
      <c r="C1" s="118"/>
      <c r="D1" s="118"/>
      <c r="E1" s="92"/>
      <c r="F1" s="8"/>
      <c r="G1" s="8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7"/>
      <c r="Y1" s="92"/>
    </row>
    <row r="2" spans="1:43" ht="16.8" customHeight="1" x14ac:dyDescent="0.3">
      <c r="A2" s="119" t="s">
        <v>42</v>
      </c>
      <c r="B2" s="119"/>
      <c r="C2" s="119"/>
      <c r="D2" s="119"/>
      <c r="E2" s="92"/>
      <c r="F2" s="8"/>
      <c r="G2" s="8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17"/>
      <c r="Y2" s="92"/>
    </row>
    <row r="3" spans="1:43" ht="15.75" customHeight="1" x14ac:dyDescent="0.3">
      <c r="A3" s="119"/>
      <c r="B3" s="117"/>
      <c r="C3" s="117"/>
      <c r="D3" s="92"/>
      <c r="E3" s="92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"/>
      <c r="T3" s="1"/>
      <c r="U3" s="1"/>
      <c r="V3" s="1"/>
      <c r="W3" s="1"/>
      <c r="X3" s="1"/>
      <c r="Y3" s="1"/>
    </row>
    <row r="4" spans="1:43" ht="12" customHeight="1" x14ac:dyDescent="0.3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2"/>
      <c r="T4" s="92"/>
      <c r="U4" s="92"/>
      <c r="V4" s="92"/>
      <c r="W4" s="92"/>
      <c r="X4" s="92"/>
      <c r="Y4" s="92"/>
    </row>
    <row r="5" spans="1:43" ht="19.5" customHeight="1" x14ac:dyDescent="0.3">
      <c r="A5" s="116" t="s">
        <v>53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7"/>
      <c r="T5" s="117"/>
      <c r="U5" s="117"/>
      <c r="V5" s="117"/>
      <c r="W5" s="117"/>
      <c r="X5" s="117"/>
      <c r="Y5" s="92"/>
    </row>
    <row r="6" spans="1:43" ht="17.25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7" t="s">
        <v>16</v>
      </c>
      <c r="Y6" s="7"/>
    </row>
    <row r="7" spans="1:43" ht="31.2" customHeight="1" x14ac:dyDescent="0.3">
      <c r="A7" s="125" t="s">
        <v>0</v>
      </c>
      <c r="B7" s="125" t="s">
        <v>12</v>
      </c>
      <c r="C7" s="128" t="s">
        <v>31</v>
      </c>
      <c r="D7" s="128"/>
      <c r="E7" s="128"/>
      <c r="F7" s="123" t="s">
        <v>10</v>
      </c>
      <c r="G7" s="124"/>
      <c r="H7" s="124"/>
      <c r="I7" s="124"/>
      <c r="J7" s="124"/>
      <c r="K7" s="129"/>
      <c r="L7" s="123" t="s">
        <v>9</v>
      </c>
      <c r="M7" s="124"/>
      <c r="N7" s="124"/>
      <c r="O7" s="124"/>
      <c r="P7" s="124"/>
      <c r="Q7" s="129"/>
      <c r="R7" s="123" t="s">
        <v>11</v>
      </c>
      <c r="S7" s="124"/>
      <c r="T7" s="124"/>
      <c r="U7" s="124"/>
      <c r="V7" s="124"/>
      <c r="W7" s="129"/>
      <c r="X7" s="114" t="s">
        <v>8</v>
      </c>
      <c r="Y7" s="127" t="s">
        <v>77</v>
      </c>
      <c r="Z7" s="140" t="s">
        <v>61</v>
      </c>
      <c r="AA7" s="140"/>
      <c r="AB7" s="140"/>
      <c r="AC7" s="140"/>
      <c r="AD7" s="140"/>
      <c r="AE7" s="140"/>
      <c r="AF7" s="140"/>
      <c r="AG7" s="138" t="s">
        <v>76</v>
      </c>
      <c r="AH7" s="140" t="s">
        <v>62</v>
      </c>
      <c r="AI7" s="140"/>
      <c r="AJ7" s="140"/>
      <c r="AK7" s="140"/>
      <c r="AL7" s="140"/>
      <c r="AM7" s="140"/>
      <c r="AN7" s="140"/>
      <c r="AO7" s="140"/>
      <c r="AP7" s="140"/>
      <c r="AQ7" s="138"/>
    </row>
    <row r="8" spans="1:43" ht="70.2" customHeight="1" x14ac:dyDescent="0.3">
      <c r="A8" s="126"/>
      <c r="B8" s="126"/>
      <c r="C8" s="93" t="s">
        <v>27</v>
      </c>
      <c r="D8" s="90" t="s">
        <v>54</v>
      </c>
      <c r="E8" s="43" t="s">
        <v>17</v>
      </c>
      <c r="F8" s="90" t="s">
        <v>33</v>
      </c>
      <c r="G8" s="90" t="s">
        <v>54</v>
      </c>
      <c r="H8" s="90" t="s">
        <v>30</v>
      </c>
      <c r="I8" s="90" t="s">
        <v>46</v>
      </c>
      <c r="J8" s="90" t="s">
        <v>34</v>
      </c>
      <c r="K8" s="43" t="s">
        <v>17</v>
      </c>
      <c r="L8" s="90" t="s">
        <v>33</v>
      </c>
      <c r="M8" s="90" t="s">
        <v>54</v>
      </c>
      <c r="N8" s="90" t="s">
        <v>30</v>
      </c>
      <c r="O8" s="90" t="s">
        <v>46</v>
      </c>
      <c r="P8" s="90" t="s">
        <v>34</v>
      </c>
      <c r="Q8" s="43" t="s">
        <v>17</v>
      </c>
      <c r="R8" s="90" t="s">
        <v>33</v>
      </c>
      <c r="S8" s="90" t="s">
        <v>54</v>
      </c>
      <c r="T8" s="90" t="s">
        <v>30</v>
      </c>
      <c r="U8" s="90" t="s">
        <v>46</v>
      </c>
      <c r="V8" s="90" t="s">
        <v>34</v>
      </c>
      <c r="W8" s="43" t="s">
        <v>17</v>
      </c>
      <c r="X8" s="115"/>
      <c r="Y8" s="127"/>
      <c r="Z8" s="94" t="s">
        <v>63</v>
      </c>
      <c r="AA8" s="94" t="s">
        <v>64</v>
      </c>
      <c r="AB8" s="94" t="s">
        <v>65</v>
      </c>
      <c r="AC8" s="94" t="s">
        <v>66</v>
      </c>
      <c r="AD8" s="94" t="s">
        <v>46</v>
      </c>
      <c r="AE8" s="94" t="s">
        <v>67</v>
      </c>
      <c r="AF8" s="95" t="s">
        <v>68</v>
      </c>
      <c r="AG8" s="139"/>
      <c r="AH8" s="95" t="s">
        <v>69</v>
      </c>
      <c r="AI8" s="105" t="s">
        <v>70</v>
      </c>
      <c r="AJ8" s="105" t="s">
        <v>71</v>
      </c>
      <c r="AK8" s="105" t="s">
        <v>72</v>
      </c>
      <c r="AL8" s="96" t="s">
        <v>73</v>
      </c>
      <c r="AM8" s="96" t="s">
        <v>74</v>
      </c>
      <c r="AN8" s="94" t="s">
        <v>67</v>
      </c>
      <c r="AO8" s="94" t="s">
        <v>63</v>
      </c>
      <c r="AP8" s="94" t="s">
        <v>75</v>
      </c>
      <c r="AQ8" s="139"/>
    </row>
    <row r="9" spans="1:43" ht="18" customHeight="1" outlineLevel="1" x14ac:dyDescent="0.3">
      <c r="A9" s="26">
        <v>1</v>
      </c>
      <c r="B9" s="27" t="s">
        <v>23</v>
      </c>
      <c r="C9" s="71">
        <v>39379</v>
      </c>
      <c r="D9" s="72">
        <v>39379</v>
      </c>
      <c r="E9" s="29">
        <f t="shared" ref="E9:E16" si="0">D9/C9*100</f>
        <v>100</v>
      </c>
      <c r="F9" s="59">
        <v>1625</v>
      </c>
      <c r="G9" s="30">
        <v>1528</v>
      </c>
      <c r="H9" s="31">
        <f>G9-'Thang 6'!G9</f>
        <v>-47</v>
      </c>
      <c r="I9" s="31">
        <f>G9-'Thang 12'!Q10</f>
        <v>-124</v>
      </c>
      <c r="J9" s="31">
        <f t="shared" ref="J9:J15" si="1">F9-G9</f>
        <v>97</v>
      </c>
      <c r="K9" s="61">
        <f t="shared" ref="K9:K16" si="2">G9/F9*100</f>
        <v>94.030769230769224</v>
      </c>
      <c r="L9" s="31">
        <v>1420</v>
      </c>
      <c r="M9" s="30">
        <v>1392</v>
      </c>
      <c r="N9" s="53">
        <f>M9-'Thang 6'!M9</f>
        <v>-1</v>
      </c>
      <c r="O9" s="53">
        <f>M9-'Thang 12'!Y10</f>
        <v>-53</v>
      </c>
      <c r="P9" s="53">
        <f>L9-M9</f>
        <v>28</v>
      </c>
      <c r="Q9" s="70">
        <f>M9/L9*100</f>
        <v>98.028169014084511</v>
      </c>
      <c r="R9" s="31">
        <v>1862</v>
      </c>
      <c r="S9" s="31">
        <v>1624</v>
      </c>
      <c r="T9" s="53">
        <f>S9-'Thang 6'!S9</f>
        <v>18</v>
      </c>
      <c r="U9" s="53">
        <f>S9-'Thang 12'!AG10</f>
        <v>-46</v>
      </c>
      <c r="V9" s="53">
        <f t="shared" ref="V9:V15" si="3">R9-S9</f>
        <v>238</v>
      </c>
      <c r="W9" s="61">
        <f t="shared" ref="W9:W16" si="4">S9/R9*100</f>
        <v>87.218045112781951</v>
      </c>
      <c r="X9" s="28"/>
      <c r="Y9" s="106" t="s">
        <v>55</v>
      </c>
      <c r="Z9" s="107">
        <f>Z10+Z11+Z12+Z13</f>
        <v>466144</v>
      </c>
      <c r="AA9" s="94">
        <v>249318</v>
      </c>
      <c r="AB9" s="94">
        <v>228211</v>
      </c>
      <c r="AC9" s="94">
        <f>AA9-AB9</f>
        <v>21107</v>
      </c>
      <c r="AD9" s="94">
        <f>AA9-AG9</f>
        <v>-273397</v>
      </c>
      <c r="AE9" s="97">
        <f>AA9/Z9*100</f>
        <v>53.48518912610696</v>
      </c>
      <c r="AF9" s="98">
        <f>Z9-AA9</f>
        <v>216826</v>
      </c>
      <c r="AG9" s="104">
        <v>522715</v>
      </c>
      <c r="AH9" s="99">
        <f t="shared" ref="AH9" si="5">SUM(AI9:AL9)</f>
        <v>48041</v>
      </c>
      <c r="AI9" s="100">
        <v>2881</v>
      </c>
      <c r="AJ9" s="100">
        <v>1394</v>
      </c>
      <c r="AK9" s="100">
        <v>190</v>
      </c>
      <c r="AL9" s="101">
        <v>43576</v>
      </c>
      <c r="AM9" s="102">
        <f t="shared" ref="AM9" si="6">SUM(AJ9:AK9)</f>
        <v>1584</v>
      </c>
      <c r="AN9" s="103">
        <f>AM9/Z9*100</f>
        <v>0.33980915768517883</v>
      </c>
      <c r="AO9" s="103">
        <v>1.26</v>
      </c>
      <c r="AP9" s="103">
        <f t="shared" ref="AP9" si="7">AO9-AN9</f>
        <v>0.92019084231482118</v>
      </c>
      <c r="AQ9" s="104"/>
    </row>
    <row r="10" spans="1:43" ht="18" customHeight="1" outlineLevel="1" x14ac:dyDescent="0.3">
      <c r="A10" s="26">
        <v>2</v>
      </c>
      <c r="B10" s="27" t="s">
        <v>14</v>
      </c>
      <c r="C10" s="71">
        <v>29921</v>
      </c>
      <c r="D10" s="72">
        <v>29921</v>
      </c>
      <c r="E10" s="29">
        <f t="shared" si="0"/>
        <v>100</v>
      </c>
      <c r="F10" s="59">
        <v>815</v>
      </c>
      <c r="G10" s="30">
        <v>496</v>
      </c>
      <c r="H10" s="31">
        <f>G10-'Thang 6'!G10</f>
        <v>-13</v>
      </c>
      <c r="I10" s="31">
        <f>G10-'Thang 12'!Q11</f>
        <v>9</v>
      </c>
      <c r="J10" s="31">
        <f t="shared" si="1"/>
        <v>319</v>
      </c>
      <c r="K10" s="61">
        <f t="shared" si="2"/>
        <v>60.858895705521476</v>
      </c>
      <c r="L10" s="31">
        <v>661</v>
      </c>
      <c r="M10" s="30">
        <v>390</v>
      </c>
      <c r="N10" s="53">
        <f>M10-'Thang 6'!M10</f>
        <v>0</v>
      </c>
      <c r="O10" s="53">
        <f>M10-'Thang 12'!Y11</f>
        <v>40</v>
      </c>
      <c r="P10" s="53">
        <f t="shared" ref="P10:P15" si="8">L10-M10</f>
        <v>271</v>
      </c>
      <c r="Q10" s="70">
        <f t="shared" ref="Q10:Q16" si="9">M10/L10*100</f>
        <v>59.001512859304086</v>
      </c>
      <c r="R10" s="31">
        <v>1297</v>
      </c>
      <c r="S10" s="31">
        <v>720</v>
      </c>
      <c r="T10" s="53">
        <f>S10-'Thang 6'!S10</f>
        <v>106</v>
      </c>
      <c r="U10" s="53">
        <f>S10-'Thang 12'!AG11</f>
        <v>130</v>
      </c>
      <c r="V10" s="53">
        <f t="shared" si="3"/>
        <v>577</v>
      </c>
      <c r="W10" s="61">
        <f t="shared" si="4"/>
        <v>55.512721665381648</v>
      </c>
      <c r="X10" s="28"/>
      <c r="Y10" s="108" t="s">
        <v>56</v>
      </c>
      <c r="Z10" s="107">
        <v>173399</v>
      </c>
      <c r="AA10" s="94">
        <v>94017</v>
      </c>
      <c r="AB10" s="94">
        <v>79425</v>
      </c>
      <c r="AC10" s="94">
        <f t="shared" ref="AC10:AC14" si="10">AA10-AB10</f>
        <v>14592</v>
      </c>
      <c r="AD10" s="94">
        <f t="shared" ref="AD10:AD14" si="11">AA10-AG10</f>
        <v>-97632</v>
      </c>
      <c r="AE10" s="97">
        <f t="shared" ref="AE10:AE13" si="12">AA10/Z10*100</f>
        <v>54.220035871025786</v>
      </c>
      <c r="AF10" s="98">
        <f t="shared" ref="AF10:AF13" si="13">Z10-AA10</f>
        <v>79382</v>
      </c>
      <c r="AG10" s="104">
        <v>191649</v>
      </c>
      <c r="AH10" s="95"/>
      <c r="AI10" s="105"/>
      <c r="AJ10" s="105"/>
      <c r="AK10" s="105"/>
      <c r="AL10" s="96"/>
      <c r="AM10" s="96"/>
      <c r="AN10" s="94"/>
      <c r="AO10" s="94"/>
      <c r="AP10" s="94"/>
      <c r="AQ10" s="104"/>
    </row>
    <row r="11" spans="1:43" ht="18" customHeight="1" outlineLevel="1" x14ac:dyDescent="0.3">
      <c r="A11" s="26">
        <v>3</v>
      </c>
      <c r="B11" s="27" t="s">
        <v>15</v>
      </c>
      <c r="C11" s="71">
        <v>25763</v>
      </c>
      <c r="D11" s="72">
        <v>25763</v>
      </c>
      <c r="E11" s="29">
        <f t="shared" si="0"/>
        <v>100</v>
      </c>
      <c r="F11" s="59">
        <v>652</v>
      </c>
      <c r="G11" s="30">
        <v>519</v>
      </c>
      <c r="H11" s="31">
        <f>G11-'Thang 6'!G11</f>
        <v>-29</v>
      </c>
      <c r="I11" s="31">
        <f>G11-'Thang 12'!Q12</f>
        <v>-20</v>
      </c>
      <c r="J11" s="31">
        <f t="shared" si="1"/>
        <v>133</v>
      </c>
      <c r="K11" s="61">
        <f t="shared" si="2"/>
        <v>79.601226993865026</v>
      </c>
      <c r="L11" s="31">
        <v>565</v>
      </c>
      <c r="M11" s="30">
        <v>434</v>
      </c>
      <c r="N11" s="53">
        <f>M11-'Thang 6'!M11</f>
        <v>0</v>
      </c>
      <c r="O11" s="53">
        <f>M11-'Thang 12'!Y12</f>
        <v>37</v>
      </c>
      <c r="P11" s="53">
        <f t="shared" si="8"/>
        <v>131</v>
      </c>
      <c r="Q11" s="70">
        <f t="shared" si="9"/>
        <v>76.814159292035399</v>
      </c>
      <c r="R11" s="31">
        <v>1117</v>
      </c>
      <c r="S11" s="31">
        <v>770</v>
      </c>
      <c r="T11" s="53">
        <f>S11-'Thang 6'!S11</f>
        <v>-7</v>
      </c>
      <c r="U11" s="53">
        <f>S11-'Thang 12'!AG12</f>
        <v>-46</v>
      </c>
      <c r="V11" s="53">
        <f t="shared" si="3"/>
        <v>347</v>
      </c>
      <c r="W11" s="61">
        <f t="shared" si="4"/>
        <v>68.934646374216655</v>
      </c>
      <c r="X11" s="28"/>
      <c r="Y11" s="108" t="s">
        <v>57</v>
      </c>
      <c r="Z11" s="107">
        <v>37255</v>
      </c>
      <c r="AA11" s="109">
        <v>19221</v>
      </c>
      <c r="AB11" s="109">
        <v>15595</v>
      </c>
      <c r="AC11" s="94">
        <f t="shared" si="10"/>
        <v>3626</v>
      </c>
      <c r="AD11" s="94">
        <f t="shared" si="11"/>
        <v>-16054</v>
      </c>
      <c r="AE11" s="97">
        <f t="shared" si="12"/>
        <v>51.593074755066439</v>
      </c>
      <c r="AF11" s="98">
        <f t="shared" si="13"/>
        <v>18034</v>
      </c>
      <c r="AG11" s="104">
        <v>35275</v>
      </c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</row>
    <row r="12" spans="1:43" ht="18" customHeight="1" outlineLevel="1" x14ac:dyDescent="0.3">
      <c r="A12" s="26">
        <v>4</v>
      </c>
      <c r="B12" s="27" t="s">
        <v>13</v>
      </c>
      <c r="C12" s="71">
        <v>51742</v>
      </c>
      <c r="D12" s="72">
        <v>51742</v>
      </c>
      <c r="E12" s="29">
        <f t="shared" si="0"/>
        <v>100</v>
      </c>
      <c r="F12" s="59">
        <v>1151</v>
      </c>
      <c r="G12" s="30">
        <v>1096</v>
      </c>
      <c r="H12" s="31">
        <f>G12-'Thang 6'!G12</f>
        <v>-54</v>
      </c>
      <c r="I12" s="31">
        <f>G12-'Thang 12'!Q13</f>
        <v>-5</v>
      </c>
      <c r="J12" s="31">
        <f t="shared" si="1"/>
        <v>55</v>
      </c>
      <c r="K12" s="61">
        <f t="shared" si="2"/>
        <v>95.221546481320601</v>
      </c>
      <c r="L12" s="31">
        <v>978</v>
      </c>
      <c r="M12" s="30">
        <v>991</v>
      </c>
      <c r="N12" s="53">
        <f>M12-'Thang 6'!M12</f>
        <v>-2</v>
      </c>
      <c r="O12" s="53">
        <f>M12-'Thang 12'!Y13</f>
        <v>81</v>
      </c>
      <c r="P12" s="53">
        <f t="shared" si="8"/>
        <v>-13</v>
      </c>
      <c r="Q12" s="70">
        <f t="shared" si="9"/>
        <v>101.32924335378324</v>
      </c>
      <c r="R12" s="31">
        <v>2043</v>
      </c>
      <c r="S12" s="31">
        <v>1626</v>
      </c>
      <c r="T12" s="53">
        <f>S12-'Thang 6'!S12</f>
        <v>57</v>
      </c>
      <c r="U12" s="53">
        <f>S12-'Thang 12'!AG13</f>
        <v>175</v>
      </c>
      <c r="V12" s="53">
        <f t="shared" si="3"/>
        <v>417</v>
      </c>
      <c r="W12" s="61">
        <f t="shared" si="4"/>
        <v>79.588839941262847</v>
      </c>
      <c r="X12" s="28"/>
      <c r="Y12" s="108" t="s">
        <v>58</v>
      </c>
      <c r="Z12" s="107">
        <v>10639</v>
      </c>
      <c r="AA12" s="109">
        <v>6448</v>
      </c>
      <c r="AB12" s="109">
        <v>5407</v>
      </c>
      <c r="AC12" s="94">
        <f t="shared" si="10"/>
        <v>1041</v>
      </c>
      <c r="AD12" s="94">
        <f t="shared" si="11"/>
        <v>-6661</v>
      </c>
      <c r="AE12" s="97">
        <f t="shared" si="12"/>
        <v>60.607199924804966</v>
      </c>
      <c r="AF12" s="98">
        <f t="shared" si="13"/>
        <v>4191</v>
      </c>
      <c r="AG12" s="104">
        <v>13109</v>
      </c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</row>
    <row r="13" spans="1:43" ht="18" customHeight="1" outlineLevel="1" x14ac:dyDescent="0.3">
      <c r="A13" s="26">
        <v>5</v>
      </c>
      <c r="B13" s="38" t="s">
        <v>24</v>
      </c>
      <c r="C13" s="71">
        <v>27773</v>
      </c>
      <c r="D13" s="72">
        <v>27773</v>
      </c>
      <c r="E13" s="29">
        <f t="shared" si="0"/>
        <v>100</v>
      </c>
      <c r="F13" s="59">
        <v>1206</v>
      </c>
      <c r="G13" s="30">
        <v>979</v>
      </c>
      <c r="H13" s="31">
        <f>G13-'Thang 6'!G13</f>
        <v>-29</v>
      </c>
      <c r="I13" s="31">
        <f>G13-'Thang 12'!Q14</f>
        <v>-29</v>
      </c>
      <c r="J13" s="31">
        <f t="shared" si="1"/>
        <v>227</v>
      </c>
      <c r="K13" s="61">
        <f t="shared" si="2"/>
        <v>81.177446102819246</v>
      </c>
      <c r="L13" s="31">
        <v>1005</v>
      </c>
      <c r="M13" s="54">
        <v>864</v>
      </c>
      <c r="N13" s="53">
        <f>M13-'Thang 6'!M13</f>
        <v>0</v>
      </c>
      <c r="O13" s="53">
        <f>M13-'Thang 12'!Y14</f>
        <v>-50</v>
      </c>
      <c r="P13" s="53">
        <f t="shared" si="8"/>
        <v>141</v>
      </c>
      <c r="Q13" s="70">
        <f t="shared" si="9"/>
        <v>85.970149253731336</v>
      </c>
      <c r="R13" s="31">
        <v>1204</v>
      </c>
      <c r="S13" s="54">
        <v>972</v>
      </c>
      <c r="T13" s="53">
        <f>S13-'Thang 6'!S13</f>
        <v>9</v>
      </c>
      <c r="U13" s="53">
        <f>S13-'Thang 12'!AG14</f>
        <v>-35</v>
      </c>
      <c r="V13" s="53">
        <f t="shared" si="3"/>
        <v>232</v>
      </c>
      <c r="W13" s="61">
        <f t="shared" si="4"/>
        <v>80.730897009966768</v>
      </c>
      <c r="X13" s="28"/>
      <c r="Y13" s="108" t="s">
        <v>59</v>
      </c>
      <c r="Z13" s="107">
        <v>244851</v>
      </c>
      <c r="AA13" s="109">
        <v>129490</v>
      </c>
      <c r="AB13" s="109">
        <v>127670</v>
      </c>
      <c r="AC13" s="94">
        <f t="shared" si="10"/>
        <v>1820</v>
      </c>
      <c r="AD13" s="94">
        <f t="shared" si="11"/>
        <v>-153011</v>
      </c>
      <c r="AE13" s="97">
        <f t="shared" si="12"/>
        <v>52.88522407504972</v>
      </c>
      <c r="AF13" s="98">
        <f t="shared" si="13"/>
        <v>115361</v>
      </c>
      <c r="AG13" s="104">
        <v>282501</v>
      </c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</row>
    <row r="14" spans="1:43" ht="18" customHeight="1" outlineLevel="1" x14ac:dyDescent="0.3">
      <c r="A14" s="26">
        <v>6</v>
      </c>
      <c r="B14" s="38" t="s">
        <v>25</v>
      </c>
      <c r="C14" s="71">
        <v>28987</v>
      </c>
      <c r="D14" s="72">
        <v>28987</v>
      </c>
      <c r="E14" s="29">
        <f t="shared" si="0"/>
        <v>100</v>
      </c>
      <c r="F14" s="59">
        <v>591</v>
      </c>
      <c r="G14" s="30">
        <v>524</v>
      </c>
      <c r="H14" s="31">
        <f>G14-'Thang 6'!G14</f>
        <v>-15</v>
      </c>
      <c r="I14" s="31">
        <f>G14-'Thang 12'!Q15</f>
        <v>60</v>
      </c>
      <c r="J14" s="31">
        <f t="shared" si="1"/>
        <v>67</v>
      </c>
      <c r="K14" s="61">
        <f t="shared" si="2"/>
        <v>88.663282571912021</v>
      </c>
      <c r="L14" s="31">
        <v>447</v>
      </c>
      <c r="M14" s="54">
        <v>417</v>
      </c>
      <c r="N14" s="53">
        <f>M14-'Thang 6'!M14</f>
        <v>0</v>
      </c>
      <c r="O14" s="53">
        <f>M14-'Thang 12'!Y15</f>
        <v>45</v>
      </c>
      <c r="P14" s="53">
        <f t="shared" si="8"/>
        <v>30</v>
      </c>
      <c r="Q14" s="70">
        <f t="shared" si="9"/>
        <v>93.288590604026851</v>
      </c>
      <c r="R14" s="31">
        <v>1257</v>
      </c>
      <c r="S14" s="54">
        <v>1010</v>
      </c>
      <c r="T14" s="53">
        <f>S14-'Thang 6'!S14</f>
        <v>65</v>
      </c>
      <c r="U14" s="53">
        <f>S14-'Thang 12'!AG15</f>
        <v>30</v>
      </c>
      <c r="V14" s="53">
        <f t="shared" si="3"/>
        <v>247</v>
      </c>
      <c r="W14" s="61">
        <f t="shared" si="4"/>
        <v>80.350039777247417</v>
      </c>
      <c r="X14" s="28"/>
      <c r="Y14" s="108" t="s">
        <v>60</v>
      </c>
      <c r="Z14" s="109"/>
      <c r="AA14" s="109">
        <v>142</v>
      </c>
      <c r="AB14" s="109">
        <v>114</v>
      </c>
      <c r="AC14" s="94">
        <f t="shared" si="10"/>
        <v>28</v>
      </c>
      <c r="AD14" s="94">
        <f t="shared" si="11"/>
        <v>-39</v>
      </c>
      <c r="AE14" s="97"/>
      <c r="AF14" s="104"/>
      <c r="AG14" s="104">
        <v>181</v>
      </c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</row>
    <row r="15" spans="1:43" ht="18" customHeight="1" outlineLevel="1" x14ac:dyDescent="0.3">
      <c r="A15" s="26">
        <v>7</v>
      </c>
      <c r="B15" s="38" t="s">
        <v>26</v>
      </c>
      <c r="C15" s="71">
        <v>24726</v>
      </c>
      <c r="D15" s="72">
        <v>24726</v>
      </c>
      <c r="E15" s="29">
        <f t="shared" si="0"/>
        <v>100</v>
      </c>
      <c r="F15" s="59">
        <v>541</v>
      </c>
      <c r="G15" s="30">
        <v>536</v>
      </c>
      <c r="H15" s="31">
        <f>G15-'Thang 6'!G15</f>
        <v>-11</v>
      </c>
      <c r="I15" s="31">
        <f>G15-'Thang 12'!Q16</f>
        <v>75</v>
      </c>
      <c r="J15" s="31">
        <f t="shared" si="1"/>
        <v>5</v>
      </c>
      <c r="K15" s="61">
        <f t="shared" si="2"/>
        <v>99.075785582255079</v>
      </c>
      <c r="L15" s="31">
        <v>439</v>
      </c>
      <c r="M15" s="54">
        <v>441</v>
      </c>
      <c r="N15" s="53">
        <f>M15-'Thang 6'!M15</f>
        <v>0</v>
      </c>
      <c r="O15" s="53">
        <f>M15-'Thang 12'!Y16</f>
        <v>58</v>
      </c>
      <c r="P15" s="53">
        <f t="shared" si="8"/>
        <v>-2</v>
      </c>
      <c r="Q15" s="70">
        <f t="shared" si="9"/>
        <v>100.45558086560365</v>
      </c>
      <c r="R15" s="31">
        <v>1072</v>
      </c>
      <c r="S15" s="54">
        <v>1068</v>
      </c>
      <c r="T15" s="53">
        <f>S15-'Thang 6'!S15</f>
        <v>-32</v>
      </c>
      <c r="U15" s="53">
        <f>S15-'Thang 12'!AG16</f>
        <v>28</v>
      </c>
      <c r="V15" s="53">
        <f t="shared" si="3"/>
        <v>4</v>
      </c>
      <c r="W15" s="61">
        <f t="shared" si="4"/>
        <v>99.626865671641795</v>
      </c>
      <c r="X15" s="28"/>
      <c r="Y15" s="35"/>
      <c r="Z15" s="10"/>
      <c r="AA15" s="10"/>
      <c r="AB15" s="10"/>
      <c r="AC15" s="10"/>
    </row>
    <row r="16" spans="1:43" s="16" customFormat="1" ht="18" customHeight="1" x14ac:dyDescent="0.3">
      <c r="A16" s="112" t="s">
        <v>1</v>
      </c>
      <c r="B16" s="112"/>
      <c r="C16" s="18">
        <f>SUM(C9:C15)</f>
        <v>228291</v>
      </c>
      <c r="D16" s="18">
        <f>SUM(D9:D15)</f>
        <v>228291</v>
      </c>
      <c r="E16" s="32">
        <f t="shared" si="0"/>
        <v>100</v>
      </c>
      <c r="F16" s="60">
        <f>SUM(F9:F15)</f>
        <v>6581</v>
      </c>
      <c r="G16" s="50">
        <f>SUM(G9:G15)</f>
        <v>5678</v>
      </c>
      <c r="H16" s="55">
        <f>SUM(H9:H15)</f>
        <v>-198</v>
      </c>
      <c r="I16" s="55">
        <f>G16-'Thang 12'!Q17</f>
        <v>-34</v>
      </c>
      <c r="J16" s="55">
        <f>SUM(J9:J15)</f>
        <v>903</v>
      </c>
      <c r="K16" s="57">
        <f t="shared" si="2"/>
        <v>86.278681051511924</v>
      </c>
      <c r="L16" s="18">
        <f>SUM(L9:L15)</f>
        <v>5515</v>
      </c>
      <c r="M16" s="18">
        <f>SUM(M9:M15)</f>
        <v>4929</v>
      </c>
      <c r="N16" s="56">
        <f>SUM(N9:N15)</f>
        <v>-3</v>
      </c>
      <c r="O16" s="56">
        <f>M16-'Thang 12'!Y17</f>
        <v>158</v>
      </c>
      <c r="P16" s="18">
        <f t="shared" ref="P16" si="14">SUM(P9:P15)</f>
        <v>586</v>
      </c>
      <c r="Q16" s="69">
        <f t="shared" si="9"/>
        <v>89.374433363553933</v>
      </c>
      <c r="R16" s="55">
        <f>SUM(R9:R15)</f>
        <v>9852</v>
      </c>
      <c r="S16" s="18">
        <f>SUM(S9:S15)</f>
        <v>7790</v>
      </c>
      <c r="T16" s="56">
        <f>SUM(T9:T15)</f>
        <v>216</v>
      </c>
      <c r="U16" s="56">
        <f>S16-'Thang 12'!AG17</f>
        <v>236</v>
      </c>
      <c r="V16" s="56">
        <f>SUM(V9:V15)</f>
        <v>2062</v>
      </c>
      <c r="W16" s="57">
        <f t="shared" si="4"/>
        <v>79.070239545269999</v>
      </c>
      <c r="X16" s="37"/>
      <c r="Y16" s="36"/>
      <c r="Z16" s="10"/>
      <c r="AA16" s="25"/>
    </row>
    <row r="17" spans="1:25" ht="9.6" customHeight="1" x14ac:dyDescent="0.35">
      <c r="A17" s="11"/>
      <c r="B17" s="88"/>
      <c r="C17" s="12"/>
      <c r="D17" s="12"/>
      <c r="E17" s="12"/>
      <c r="F17" s="13"/>
      <c r="G17" s="14"/>
      <c r="H17" s="13"/>
      <c r="I17" s="13"/>
      <c r="J17" s="13"/>
      <c r="K17" s="13"/>
      <c r="L17" s="13"/>
      <c r="M17" s="14"/>
      <c r="N17" s="13"/>
      <c r="O17" s="13"/>
      <c r="P17" s="13"/>
      <c r="Q17" s="13"/>
      <c r="R17" s="13"/>
      <c r="S17" s="14"/>
      <c r="T17" s="13"/>
      <c r="U17" s="13"/>
      <c r="V17" s="13"/>
      <c r="W17" s="13"/>
      <c r="X17" s="15"/>
      <c r="Y17" s="15"/>
    </row>
    <row r="18" spans="1:25" ht="21.6" customHeight="1" x14ac:dyDescent="0.3">
      <c r="A18" s="11"/>
      <c r="B18" s="113" t="s">
        <v>22</v>
      </c>
      <c r="C18" s="113"/>
      <c r="D18" s="113"/>
      <c r="E18" s="113"/>
      <c r="F18" s="113"/>
      <c r="G18" s="87"/>
      <c r="H18" s="19"/>
      <c r="I18" s="19"/>
      <c r="J18" s="19"/>
      <c r="K18" s="19"/>
      <c r="L18" s="19"/>
      <c r="M18" s="33"/>
      <c r="N18" s="33"/>
      <c r="O18" s="33"/>
      <c r="P18" s="33"/>
      <c r="Q18" s="33"/>
      <c r="R18" s="33"/>
      <c r="S18" s="19"/>
      <c r="T18" s="19"/>
      <c r="U18" s="19"/>
      <c r="V18" s="19"/>
      <c r="W18" s="19"/>
      <c r="X18" s="19"/>
      <c r="Y18" s="19"/>
    </row>
    <row r="19" spans="1:25" ht="18" x14ac:dyDescent="0.35">
      <c r="B19" s="110"/>
      <c r="C19" s="110"/>
      <c r="D19" s="110"/>
      <c r="E19" s="110"/>
      <c r="F19" s="110"/>
      <c r="G19" s="110"/>
      <c r="H19" s="88"/>
      <c r="I19" s="88"/>
      <c r="J19" s="88"/>
      <c r="K19" s="88"/>
      <c r="L19" s="88"/>
      <c r="M19" s="3"/>
      <c r="N19" s="3"/>
      <c r="O19" s="3"/>
      <c r="P19" s="3"/>
      <c r="Q19" s="3"/>
      <c r="R19" s="3"/>
      <c r="S19" s="80"/>
      <c r="T19" s="3"/>
      <c r="U19" s="3"/>
      <c r="V19" s="3"/>
      <c r="W19" s="3"/>
    </row>
    <row r="20" spans="1:25" ht="17.399999999999999" x14ac:dyDescent="0.3">
      <c r="B20" s="5" t="s">
        <v>4</v>
      </c>
      <c r="C20" s="5"/>
      <c r="D20" s="111"/>
      <c r="E20" s="111"/>
      <c r="F20" s="89"/>
      <c r="G20" s="2"/>
      <c r="H20" s="2"/>
      <c r="I20" s="2"/>
      <c r="J20" s="2"/>
      <c r="K20" s="2"/>
      <c r="L20" s="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5" ht="17.399999999999999" x14ac:dyDescent="0.3">
      <c r="B21" s="2"/>
      <c r="C21" s="2"/>
      <c r="D21" s="9"/>
      <c r="E21" s="9"/>
      <c r="F21" s="89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5" ht="17.399999999999999" x14ac:dyDescent="0.3">
      <c r="B22" s="5"/>
      <c r="C22" s="5"/>
      <c r="D22" s="5"/>
      <c r="E22" s="5"/>
      <c r="F22" s="5"/>
      <c r="G22" s="2"/>
      <c r="H22" s="2"/>
      <c r="I22" s="2"/>
      <c r="J22" s="2"/>
      <c r="K22" s="2"/>
      <c r="L22" s="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5" ht="17.399999999999999" x14ac:dyDescent="0.3">
      <c r="B23" s="5"/>
    </row>
    <row r="24" spans="1:25" ht="17.399999999999999" x14ac:dyDescent="0.3">
      <c r="B24" s="5"/>
    </row>
    <row r="25" spans="1:25" ht="17.399999999999999" x14ac:dyDescent="0.3">
      <c r="B25" s="5" t="s">
        <v>5</v>
      </c>
    </row>
  </sheetData>
  <mergeCells count="22">
    <mergeCell ref="Y7:Y8"/>
    <mergeCell ref="AQ7:AQ8"/>
    <mergeCell ref="Z7:AF7"/>
    <mergeCell ref="AH7:AP7"/>
    <mergeCell ref="A5:X5"/>
    <mergeCell ref="X7:X8"/>
    <mergeCell ref="L7:Q7"/>
    <mergeCell ref="R7:W7"/>
    <mergeCell ref="AG7:AG8"/>
    <mergeCell ref="A1:D1"/>
    <mergeCell ref="H1:X1"/>
    <mergeCell ref="A2:D2"/>
    <mergeCell ref="H2:X2"/>
    <mergeCell ref="A3:C3"/>
    <mergeCell ref="A16:B16"/>
    <mergeCell ref="B18:F18"/>
    <mergeCell ref="B19:G19"/>
    <mergeCell ref="D20:E20"/>
    <mergeCell ref="A7:A8"/>
    <mergeCell ref="B7:B8"/>
    <mergeCell ref="C7:E7"/>
    <mergeCell ref="F7:K7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Thang 12</vt:lpstr>
      <vt:lpstr>Thang 02</vt:lpstr>
      <vt:lpstr>Thang 3</vt:lpstr>
      <vt:lpstr>Thang 4</vt:lpstr>
      <vt:lpstr>Thang 5</vt:lpstr>
      <vt:lpstr>Thang 6</vt:lpstr>
      <vt:lpstr>Thang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Khanh Duy  To</cp:lastModifiedBy>
  <cp:lastPrinted>2026-06-03T04:02:48Z</cp:lastPrinted>
  <dcterms:created xsi:type="dcterms:W3CDTF">2020-02-02T08:24:58Z</dcterms:created>
  <dcterms:modified xsi:type="dcterms:W3CDTF">2026-08-19T10:10:18Z</dcterms:modified>
</cp:coreProperties>
</file>